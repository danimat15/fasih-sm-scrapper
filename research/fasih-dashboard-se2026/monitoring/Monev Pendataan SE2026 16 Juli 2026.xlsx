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ko Siswahto\Downloads\"/>
    </mc:Choice>
  </mc:AlternateContent>
  <xr:revisionPtr revIDLastSave="0" documentId="13_ncr:1_{B47AA4B4-663A-48B4-A70B-5D2BD2759C78}" xr6:coauthVersionLast="47" xr6:coauthVersionMax="47" xr10:uidLastSave="{00000000-0000-0000-0000-000000000000}"/>
  <bookViews>
    <workbookView xWindow="-110" yWindow="-110" windowWidth="25820" windowHeight="16220" activeTab="3" xr2:uid="{F89DC9AB-FEF1-4C48-9B72-E013BFE7C399}"/>
  </bookViews>
  <sheets>
    <sheet name="16 Juli_Progres Dashboard" sheetId="1" r:id="rId1"/>
    <sheet name="Progres PPL" sheetId="13" r:id="rId2"/>
    <sheet name="Progres PML" sheetId="14" r:id="rId3"/>
    <sheet name="Status Muatan Kecamatan" sheetId="12" r:id="rId4"/>
    <sheet name="16 Juli_Progres Dashboard (2)" sheetId="15" r:id="rId5"/>
  </sheets>
  <definedNames>
    <definedName name="_xlnm._FilterDatabase" localSheetId="0" hidden="1">'16 Juli_Progres Dashboard'!$A$3:$AZ$158</definedName>
    <definedName name="_xlnm._FilterDatabase" localSheetId="4" hidden="1">'16 Juli_Progres Dashboard (2)'!$A$3:$AD$158</definedName>
    <definedName name="_xlnm._FilterDatabase" localSheetId="2" hidden="1">'Progres PML'!$A$3:$AZ$27</definedName>
    <definedName name="_xlnm._FilterDatabase" localSheetId="1" hidden="1">'Progres PPL'!$A$3:$AZ$134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6" i="12" l="1"/>
  <c r="F266" i="12"/>
  <c r="G266" i="12"/>
  <c r="H266" i="12"/>
  <c r="I266" i="12"/>
  <c r="J266" i="12"/>
  <c r="K266" i="12"/>
  <c r="D266" i="12"/>
  <c r="E246" i="12"/>
  <c r="F246" i="12"/>
  <c r="G246" i="12"/>
  <c r="H246" i="12"/>
  <c r="I246" i="12"/>
  <c r="J246" i="12"/>
  <c r="K246" i="12"/>
  <c r="D246" i="12"/>
  <c r="E223" i="12"/>
  <c r="F223" i="12"/>
  <c r="G223" i="12"/>
  <c r="H223" i="12"/>
  <c r="I223" i="12"/>
  <c r="J223" i="12"/>
  <c r="K223" i="12"/>
  <c r="D223" i="12"/>
  <c r="E195" i="12"/>
  <c r="F195" i="12"/>
  <c r="G195" i="12"/>
  <c r="H195" i="12"/>
  <c r="I195" i="12"/>
  <c r="J195" i="12"/>
  <c r="K195" i="12"/>
  <c r="D195" i="12"/>
  <c r="D183" i="12"/>
  <c r="E183" i="12"/>
  <c r="F183" i="12"/>
  <c r="G183" i="12"/>
  <c r="H183" i="12"/>
  <c r="I183" i="12"/>
  <c r="J183" i="12"/>
  <c r="K183" i="12"/>
  <c r="E164" i="12"/>
  <c r="F164" i="12"/>
  <c r="G164" i="12"/>
  <c r="H164" i="12"/>
  <c r="I164" i="12"/>
  <c r="J164" i="12"/>
  <c r="K164" i="12"/>
  <c r="D164" i="12"/>
  <c r="K137" i="12"/>
  <c r="E137" i="12"/>
  <c r="F137" i="12"/>
  <c r="G137" i="12"/>
  <c r="H137" i="12"/>
  <c r="I137" i="12"/>
  <c r="J137" i="12"/>
  <c r="D137" i="12"/>
  <c r="D115" i="12"/>
  <c r="G115" i="12"/>
  <c r="L84" i="15"/>
  <c r="E115" i="12"/>
  <c r="F115" i="12"/>
  <c r="H115" i="12"/>
  <c r="I115" i="12"/>
  <c r="J115" i="12"/>
  <c r="K115" i="12"/>
  <c r="E97" i="12"/>
  <c r="F97" i="12"/>
  <c r="G97" i="12"/>
  <c r="H97" i="12"/>
  <c r="I97" i="12"/>
  <c r="J97" i="12"/>
  <c r="K97" i="12"/>
  <c r="D97" i="12"/>
  <c r="E87" i="12"/>
  <c r="F87" i="12"/>
  <c r="G87" i="12"/>
  <c r="H87" i="12"/>
  <c r="I87" i="12"/>
  <c r="J87" i="12"/>
  <c r="K87" i="12"/>
  <c r="D87" i="12"/>
  <c r="E71" i="12"/>
  <c r="F71" i="12"/>
  <c r="G71" i="12"/>
  <c r="H71" i="12"/>
  <c r="I71" i="12"/>
  <c r="J71" i="12"/>
  <c r="K71" i="12"/>
  <c r="D71" i="12"/>
  <c r="E56" i="12"/>
  <c r="F56" i="12"/>
  <c r="G56" i="12"/>
  <c r="H56" i="12"/>
  <c r="I56" i="12"/>
  <c r="J56" i="12"/>
  <c r="K56" i="12"/>
  <c r="D56" i="12"/>
  <c r="E49" i="12"/>
  <c r="F49" i="12"/>
  <c r="G49" i="12"/>
  <c r="H49" i="12"/>
  <c r="I49" i="12"/>
  <c r="J49" i="12"/>
  <c r="K49" i="12"/>
  <c r="D49" i="12"/>
  <c r="E28" i="12"/>
  <c r="F28" i="12"/>
  <c r="G28" i="12"/>
  <c r="H28" i="12"/>
  <c r="I28" i="12"/>
  <c r="J28" i="12"/>
  <c r="K28" i="12"/>
  <c r="D28" i="12"/>
  <c r="D17" i="12"/>
  <c r="E17" i="12"/>
  <c r="F17" i="12"/>
  <c r="G17" i="12"/>
  <c r="H17" i="12"/>
  <c r="I17" i="12"/>
  <c r="J17" i="12"/>
  <c r="K17" i="12"/>
  <c r="L158" i="15"/>
  <c r="H158" i="15"/>
  <c r="L157" i="15"/>
  <c r="H157" i="15"/>
  <c r="L156" i="15"/>
  <c r="H156" i="15"/>
  <c r="L155" i="15"/>
  <c r="H155" i="15"/>
  <c r="L154" i="15"/>
  <c r="H154" i="15"/>
  <c r="L153" i="15"/>
  <c r="H153" i="15"/>
  <c r="L152" i="15"/>
  <c r="H152" i="15"/>
  <c r="L151" i="15"/>
  <c r="H151" i="15"/>
  <c r="L150" i="15"/>
  <c r="H150" i="15"/>
  <c r="L149" i="15"/>
  <c r="H149" i="15"/>
  <c r="L148" i="15"/>
  <c r="H148" i="15"/>
  <c r="L147" i="15"/>
  <c r="H147" i="15"/>
  <c r="L146" i="15"/>
  <c r="H146" i="15"/>
  <c r="L145" i="15"/>
  <c r="H145" i="15"/>
  <c r="L144" i="15"/>
  <c r="H144" i="15"/>
  <c r="L143" i="15"/>
  <c r="H143" i="15"/>
  <c r="L142" i="15"/>
  <c r="H142" i="15"/>
  <c r="L141" i="15"/>
  <c r="H141" i="15"/>
  <c r="L140" i="15"/>
  <c r="H140" i="15"/>
  <c r="L139" i="15"/>
  <c r="H139" i="15"/>
  <c r="L138" i="15"/>
  <c r="H138" i="15"/>
  <c r="L137" i="15"/>
  <c r="H137" i="15"/>
  <c r="L136" i="15"/>
  <c r="H136" i="15"/>
  <c r="L135" i="15"/>
  <c r="H135" i="15"/>
  <c r="L134" i="15"/>
  <c r="H134" i="15"/>
  <c r="L133" i="15"/>
  <c r="H133" i="15"/>
  <c r="L132" i="15"/>
  <c r="H132" i="15"/>
  <c r="L131" i="15"/>
  <c r="H131" i="15"/>
  <c r="L130" i="15"/>
  <c r="H130" i="15"/>
  <c r="L129" i="15"/>
  <c r="H129" i="15"/>
  <c r="L128" i="15"/>
  <c r="H128" i="15"/>
  <c r="L127" i="15"/>
  <c r="H127" i="15"/>
  <c r="L126" i="15"/>
  <c r="H126" i="15"/>
  <c r="L125" i="15"/>
  <c r="H125" i="15"/>
  <c r="L124" i="15"/>
  <c r="H124" i="15"/>
  <c r="L123" i="15"/>
  <c r="H123" i="15"/>
  <c r="L122" i="15"/>
  <c r="H122" i="15"/>
  <c r="L121" i="15"/>
  <c r="H121" i="15"/>
  <c r="L120" i="15"/>
  <c r="H120" i="15"/>
  <c r="L119" i="15"/>
  <c r="H119" i="15"/>
  <c r="L118" i="15"/>
  <c r="H118" i="15"/>
  <c r="L117" i="15"/>
  <c r="H117" i="15"/>
  <c r="L116" i="15"/>
  <c r="H116" i="15"/>
  <c r="L115" i="15"/>
  <c r="H115" i="15"/>
  <c r="L114" i="15"/>
  <c r="H114" i="15"/>
  <c r="L113" i="15"/>
  <c r="H113" i="15"/>
  <c r="L112" i="15"/>
  <c r="H112" i="15"/>
  <c r="L111" i="15"/>
  <c r="H111" i="15"/>
  <c r="L110" i="15"/>
  <c r="H110" i="15"/>
  <c r="L109" i="15"/>
  <c r="H109" i="15"/>
  <c r="L108" i="15"/>
  <c r="H108" i="15"/>
  <c r="L107" i="15"/>
  <c r="H107" i="15"/>
  <c r="L106" i="15"/>
  <c r="H106" i="15"/>
  <c r="L105" i="15"/>
  <c r="H105" i="15"/>
  <c r="L104" i="15"/>
  <c r="H104" i="15"/>
  <c r="L103" i="15"/>
  <c r="H103" i="15"/>
  <c r="L102" i="15"/>
  <c r="H102" i="15"/>
  <c r="L101" i="15"/>
  <c r="H101" i="15"/>
  <c r="L100" i="15"/>
  <c r="H100" i="15"/>
  <c r="L99" i="15"/>
  <c r="H99" i="15"/>
  <c r="L98" i="15"/>
  <c r="H98" i="15"/>
  <c r="L97" i="15"/>
  <c r="H97" i="15"/>
  <c r="L96" i="15"/>
  <c r="H96" i="15"/>
  <c r="L95" i="15"/>
  <c r="H95" i="15"/>
  <c r="L94" i="15"/>
  <c r="H94" i="15"/>
  <c r="L93" i="15"/>
  <c r="H93" i="15"/>
  <c r="L92" i="15"/>
  <c r="H92" i="15"/>
  <c r="L91" i="15"/>
  <c r="H91" i="15"/>
  <c r="L90" i="15"/>
  <c r="H90" i="15"/>
  <c r="L89" i="15"/>
  <c r="H89" i="15"/>
  <c r="L88" i="15"/>
  <c r="H88" i="15"/>
  <c r="L87" i="15"/>
  <c r="H87" i="15"/>
  <c r="L86" i="15"/>
  <c r="H86" i="15"/>
  <c r="L85" i="15"/>
  <c r="H85" i="15"/>
  <c r="H84" i="15"/>
  <c r="L83" i="15"/>
  <c r="H83" i="15"/>
  <c r="L82" i="15"/>
  <c r="H82" i="15"/>
  <c r="L81" i="15"/>
  <c r="H81" i="15"/>
  <c r="L80" i="15"/>
  <c r="H80" i="15"/>
  <c r="L79" i="15"/>
  <c r="H79" i="15"/>
  <c r="L78" i="15"/>
  <c r="H78" i="15"/>
  <c r="L77" i="15"/>
  <c r="H77" i="15"/>
  <c r="L76" i="15"/>
  <c r="H76" i="15"/>
  <c r="L75" i="15"/>
  <c r="H75" i="15"/>
  <c r="L74" i="15"/>
  <c r="H74" i="15"/>
  <c r="L73" i="15"/>
  <c r="H73" i="15"/>
  <c r="L72" i="15"/>
  <c r="H72" i="15"/>
  <c r="L71" i="15"/>
  <c r="H71" i="15"/>
  <c r="L70" i="15"/>
  <c r="H70" i="15"/>
  <c r="L69" i="15"/>
  <c r="H69" i="15"/>
  <c r="L68" i="15"/>
  <c r="H68" i="15"/>
  <c r="L67" i="15"/>
  <c r="H67" i="15"/>
  <c r="L66" i="15"/>
  <c r="H66" i="15"/>
  <c r="L65" i="15"/>
  <c r="H65" i="15"/>
  <c r="L64" i="15"/>
  <c r="H64" i="15"/>
  <c r="L63" i="15"/>
  <c r="H63" i="15"/>
  <c r="L62" i="15"/>
  <c r="H62" i="15"/>
  <c r="L61" i="15"/>
  <c r="H61" i="15"/>
  <c r="L60" i="15"/>
  <c r="H60" i="15"/>
  <c r="L59" i="15"/>
  <c r="H59" i="15"/>
  <c r="L58" i="15"/>
  <c r="H58" i="15"/>
  <c r="L57" i="15"/>
  <c r="H57" i="15"/>
  <c r="L56" i="15"/>
  <c r="H56" i="15"/>
  <c r="L55" i="15"/>
  <c r="H55" i="15"/>
  <c r="L54" i="15"/>
  <c r="H54" i="15"/>
  <c r="L53" i="15"/>
  <c r="H53" i="15"/>
  <c r="L52" i="15"/>
  <c r="H52" i="15"/>
  <c r="L51" i="15"/>
  <c r="H51" i="15"/>
  <c r="L50" i="15"/>
  <c r="H50" i="15"/>
  <c r="L49" i="15"/>
  <c r="H49" i="15"/>
  <c r="L48" i="15"/>
  <c r="H48" i="15"/>
  <c r="L47" i="15"/>
  <c r="H47" i="15"/>
  <c r="L46" i="15"/>
  <c r="H46" i="15"/>
  <c r="L45" i="15"/>
  <c r="H45" i="15"/>
  <c r="L44" i="15"/>
  <c r="H44" i="15"/>
  <c r="L43" i="15"/>
  <c r="H43" i="15"/>
  <c r="L42" i="15"/>
  <c r="H42" i="15"/>
  <c r="L41" i="15"/>
  <c r="H41" i="15"/>
  <c r="L40" i="15"/>
  <c r="H40" i="15"/>
  <c r="L39" i="15"/>
  <c r="H39" i="15"/>
  <c r="L38" i="15"/>
  <c r="H38" i="15"/>
  <c r="L37" i="15"/>
  <c r="H37" i="15"/>
  <c r="L36" i="15"/>
  <c r="H36" i="15"/>
  <c r="L35" i="15"/>
  <c r="H35" i="15"/>
  <c r="L34" i="15"/>
  <c r="H34" i="15"/>
  <c r="L33" i="15"/>
  <c r="H33" i="15"/>
  <c r="L32" i="15"/>
  <c r="H32" i="15"/>
  <c r="L31" i="15"/>
  <c r="H31" i="15"/>
  <c r="L30" i="15"/>
  <c r="H30" i="15"/>
  <c r="L29" i="15"/>
  <c r="H29" i="15"/>
  <c r="L28" i="15"/>
  <c r="H28" i="15"/>
  <c r="L27" i="15"/>
  <c r="H27" i="15"/>
  <c r="L26" i="15"/>
  <c r="H26" i="15"/>
  <c r="L25" i="15"/>
  <c r="H25" i="15"/>
  <c r="L24" i="15"/>
  <c r="H24" i="15"/>
  <c r="L23" i="15"/>
  <c r="H23" i="15"/>
  <c r="L22" i="15"/>
  <c r="H22" i="15"/>
  <c r="L21" i="15"/>
  <c r="H21" i="15"/>
  <c r="L20" i="15"/>
  <c r="H20" i="15"/>
  <c r="L19" i="15"/>
  <c r="H19" i="15"/>
  <c r="L18" i="15"/>
  <c r="H18" i="15"/>
  <c r="L17" i="15"/>
  <c r="H17" i="15"/>
  <c r="L16" i="15"/>
  <c r="H16" i="15"/>
  <c r="L15" i="15"/>
  <c r="H15" i="15"/>
  <c r="L14" i="15"/>
  <c r="H14" i="15"/>
  <c r="L13" i="15"/>
  <c r="H13" i="15"/>
  <c r="L12" i="15"/>
  <c r="H12" i="15"/>
  <c r="L11" i="15"/>
  <c r="H11" i="15"/>
  <c r="L10" i="15"/>
  <c r="H10" i="15"/>
  <c r="L9" i="15"/>
  <c r="H9" i="15"/>
  <c r="L8" i="15"/>
  <c r="H8" i="15"/>
  <c r="L7" i="15"/>
  <c r="H7" i="15"/>
  <c r="L6" i="15"/>
  <c r="H6" i="15"/>
  <c r="L5" i="15"/>
  <c r="H5" i="15"/>
  <c r="L4" i="15"/>
  <c r="H4" i="15"/>
  <c r="AA27" i="14" l="1"/>
  <c r="AG27" i="14" s="1"/>
  <c r="X27" i="14"/>
  <c r="AD27" i="14" s="1"/>
  <c r="U27" i="14"/>
  <c r="T27" i="14"/>
  <c r="R27" i="14"/>
  <c r="Q27" i="14"/>
  <c r="M27" i="14"/>
  <c r="L27" i="14"/>
  <c r="S27" i="14" s="1"/>
  <c r="H27" i="14"/>
  <c r="AA26" i="14"/>
  <c r="AG26" i="14" s="1"/>
  <c r="Z26" i="14"/>
  <c r="AF26" i="14" s="1"/>
  <c r="X26" i="14"/>
  <c r="AD26" i="14" s="1"/>
  <c r="W26" i="14"/>
  <c r="AC26" i="14" s="1"/>
  <c r="U26" i="14"/>
  <c r="T26" i="14"/>
  <c r="R26" i="14"/>
  <c r="Q26" i="14"/>
  <c r="M26" i="14"/>
  <c r="L26" i="14"/>
  <c r="S26" i="14" s="1"/>
  <c r="H26" i="14"/>
  <c r="AA25" i="14"/>
  <c r="AG25" i="14" s="1"/>
  <c r="Z25" i="14"/>
  <c r="AB25" i="14" s="1"/>
  <c r="X25" i="14"/>
  <c r="AD25" i="14" s="1"/>
  <c r="W25" i="14"/>
  <c r="AC25" i="14" s="1"/>
  <c r="U25" i="14"/>
  <c r="T25" i="14"/>
  <c r="R25" i="14"/>
  <c r="Q25" i="14"/>
  <c r="M25" i="14"/>
  <c r="L25" i="14"/>
  <c r="H25" i="14"/>
  <c r="AA24" i="14"/>
  <c r="AG24" i="14" s="1"/>
  <c r="Z24" i="14"/>
  <c r="AF24" i="14" s="1"/>
  <c r="X24" i="14"/>
  <c r="W24" i="14"/>
  <c r="AC24" i="14" s="1"/>
  <c r="U24" i="14"/>
  <c r="T24" i="14"/>
  <c r="R24" i="14"/>
  <c r="Q24" i="14"/>
  <c r="M24" i="14"/>
  <c r="L24" i="14"/>
  <c r="S24" i="14" s="1"/>
  <c r="H24" i="14"/>
  <c r="AA23" i="14"/>
  <c r="AG23" i="14" s="1"/>
  <c r="Z23" i="14"/>
  <c r="AF23" i="14" s="1"/>
  <c r="X23" i="14"/>
  <c r="AD23" i="14" s="1"/>
  <c r="W23" i="14"/>
  <c r="AC23" i="14" s="1"/>
  <c r="U23" i="14"/>
  <c r="T23" i="14"/>
  <c r="R23" i="14"/>
  <c r="Q23" i="14"/>
  <c r="M23" i="14"/>
  <c r="L23" i="14"/>
  <c r="H23" i="14"/>
  <c r="AA22" i="14"/>
  <c r="AG22" i="14" s="1"/>
  <c r="Z22" i="14"/>
  <c r="AB22" i="14" s="1"/>
  <c r="X22" i="14"/>
  <c r="AD22" i="14" s="1"/>
  <c r="W22" i="14"/>
  <c r="AC22" i="14" s="1"/>
  <c r="U22" i="14"/>
  <c r="T22" i="14"/>
  <c r="R22" i="14"/>
  <c r="Q22" i="14"/>
  <c r="M22" i="14"/>
  <c r="L22" i="14"/>
  <c r="S22" i="14" s="1"/>
  <c r="H22" i="14"/>
  <c r="AA21" i="14"/>
  <c r="AG21" i="14" s="1"/>
  <c r="Z21" i="14"/>
  <c r="AB21" i="14" s="1"/>
  <c r="AH21" i="14" s="1"/>
  <c r="X21" i="14"/>
  <c r="AD21" i="14" s="1"/>
  <c r="W21" i="14"/>
  <c r="Y21" i="14" s="1"/>
  <c r="AE21" i="14" s="1"/>
  <c r="U21" i="14"/>
  <c r="T21" i="14"/>
  <c r="R21" i="14"/>
  <c r="Q21" i="14"/>
  <c r="M21" i="14"/>
  <c r="L21" i="14"/>
  <c r="H21" i="14"/>
  <c r="AA20" i="14"/>
  <c r="AG20" i="14" s="1"/>
  <c r="Z20" i="14"/>
  <c r="AF20" i="14" s="1"/>
  <c r="X20" i="14"/>
  <c r="AD20" i="14" s="1"/>
  <c r="W20" i="14"/>
  <c r="AC20" i="14" s="1"/>
  <c r="U20" i="14"/>
  <c r="T20" i="14"/>
  <c r="R20" i="14"/>
  <c r="Q20" i="14"/>
  <c r="M20" i="14"/>
  <c r="L20" i="14"/>
  <c r="S20" i="14" s="1"/>
  <c r="H20" i="14"/>
  <c r="AA19" i="14"/>
  <c r="AG19" i="14" s="1"/>
  <c r="Z19" i="14"/>
  <c r="AF19" i="14" s="1"/>
  <c r="X19" i="14"/>
  <c r="AD19" i="14" s="1"/>
  <c r="W19" i="14"/>
  <c r="AC19" i="14" s="1"/>
  <c r="U19" i="14"/>
  <c r="T19" i="14"/>
  <c r="R19" i="14"/>
  <c r="Q19" i="14"/>
  <c r="M19" i="14"/>
  <c r="L19" i="14"/>
  <c r="H19" i="14"/>
  <c r="AA18" i="14"/>
  <c r="AG18" i="14" s="1"/>
  <c r="Z18" i="14"/>
  <c r="AF18" i="14" s="1"/>
  <c r="X18" i="14"/>
  <c r="AD18" i="14" s="1"/>
  <c r="W18" i="14"/>
  <c r="AC18" i="14" s="1"/>
  <c r="U18" i="14"/>
  <c r="T18" i="14"/>
  <c r="R18" i="14"/>
  <c r="Q18" i="14"/>
  <c r="M18" i="14"/>
  <c r="L18" i="14"/>
  <c r="H18" i="14"/>
  <c r="AA17" i="14"/>
  <c r="AG17" i="14" s="1"/>
  <c r="Z17" i="14"/>
  <c r="AF17" i="14" s="1"/>
  <c r="X17" i="14"/>
  <c r="AD17" i="14" s="1"/>
  <c r="W17" i="14"/>
  <c r="Y17" i="14" s="1"/>
  <c r="U17" i="14"/>
  <c r="T17" i="14"/>
  <c r="R17" i="14"/>
  <c r="Q17" i="14"/>
  <c r="M17" i="14"/>
  <c r="L17" i="14"/>
  <c r="H17" i="14"/>
  <c r="AA16" i="14"/>
  <c r="AG16" i="14" s="1"/>
  <c r="Z16" i="14"/>
  <c r="X16" i="14"/>
  <c r="AD16" i="14" s="1"/>
  <c r="W16" i="14"/>
  <c r="AC16" i="14" s="1"/>
  <c r="U16" i="14"/>
  <c r="T16" i="14"/>
  <c r="R16" i="14"/>
  <c r="Q16" i="14"/>
  <c r="M16" i="14"/>
  <c r="L16" i="14"/>
  <c r="S16" i="14" s="1"/>
  <c r="H16" i="14"/>
  <c r="AA15" i="14"/>
  <c r="AG15" i="14" s="1"/>
  <c r="Z15" i="14"/>
  <c r="AF15" i="14" s="1"/>
  <c r="X15" i="14"/>
  <c r="W15" i="14"/>
  <c r="AC15" i="14" s="1"/>
  <c r="U15" i="14"/>
  <c r="T15" i="14"/>
  <c r="R15" i="14"/>
  <c r="Q15" i="14"/>
  <c r="M15" i="14"/>
  <c r="L15" i="14"/>
  <c r="S15" i="14" s="1"/>
  <c r="H15" i="14"/>
  <c r="AA14" i="14"/>
  <c r="AG14" i="14" s="1"/>
  <c r="Z14" i="14"/>
  <c r="X14" i="14"/>
  <c r="AD14" i="14" s="1"/>
  <c r="W14" i="14"/>
  <c r="AC14" i="14" s="1"/>
  <c r="U14" i="14"/>
  <c r="T14" i="14"/>
  <c r="R14" i="14"/>
  <c r="Q14" i="14"/>
  <c r="M14" i="14"/>
  <c r="L14" i="14"/>
  <c r="S14" i="14" s="1"/>
  <c r="H14" i="14"/>
  <c r="AA13" i="14"/>
  <c r="AG13" i="14" s="1"/>
  <c r="Z13" i="14"/>
  <c r="AF13" i="14" s="1"/>
  <c r="X13" i="14"/>
  <c r="W13" i="14"/>
  <c r="AC13" i="14" s="1"/>
  <c r="U13" i="14"/>
  <c r="T13" i="14"/>
  <c r="R13" i="14"/>
  <c r="Q13" i="14"/>
  <c r="M13" i="14"/>
  <c r="L13" i="14"/>
  <c r="S13" i="14" s="1"/>
  <c r="H13" i="14"/>
  <c r="AA12" i="14"/>
  <c r="AG12" i="14" s="1"/>
  <c r="Z12" i="14"/>
  <c r="X12" i="14"/>
  <c r="AD12" i="14" s="1"/>
  <c r="W12" i="14"/>
  <c r="AC12" i="14" s="1"/>
  <c r="U12" i="14"/>
  <c r="T12" i="14"/>
  <c r="R12" i="14"/>
  <c r="Q12" i="14"/>
  <c r="M12" i="14"/>
  <c r="L12" i="14"/>
  <c r="H12" i="14"/>
  <c r="AA11" i="14"/>
  <c r="AG11" i="14" s="1"/>
  <c r="Z11" i="14"/>
  <c r="X11" i="14"/>
  <c r="AD11" i="14" s="1"/>
  <c r="W11" i="14"/>
  <c r="AC11" i="14" s="1"/>
  <c r="U11" i="14"/>
  <c r="T11" i="14"/>
  <c r="R11" i="14"/>
  <c r="Q11" i="14"/>
  <c r="M11" i="14"/>
  <c r="L11" i="14"/>
  <c r="H11" i="14"/>
  <c r="AA10" i="14"/>
  <c r="AG10" i="14" s="1"/>
  <c r="Z10" i="14"/>
  <c r="AF10" i="14" s="1"/>
  <c r="X10" i="14"/>
  <c r="AD10" i="14" s="1"/>
  <c r="W10" i="14"/>
  <c r="U10" i="14"/>
  <c r="T10" i="14"/>
  <c r="R10" i="14"/>
  <c r="Q10" i="14"/>
  <c r="M10" i="14"/>
  <c r="L10" i="14"/>
  <c r="S10" i="14" s="1"/>
  <c r="H10" i="14"/>
  <c r="AA9" i="14"/>
  <c r="AG9" i="14" s="1"/>
  <c r="Z9" i="14"/>
  <c r="AF9" i="14" s="1"/>
  <c r="X9" i="14"/>
  <c r="AD9" i="14" s="1"/>
  <c r="W9" i="14"/>
  <c r="AC9" i="14" s="1"/>
  <c r="U9" i="14"/>
  <c r="T9" i="14"/>
  <c r="R9" i="14"/>
  <c r="Q9" i="14"/>
  <c r="M9" i="14"/>
  <c r="L9" i="14"/>
  <c r="H9" i="14"/>
  <c r="AA8" i="14"/>
  <c r="AG8" i="14" s="1"/>
  <c r="Z8" i="14"/>
  <c r="AF8" i="14" s="1"/>
  <c r="X8" i="14"/>
  <c r="AD8" i="14" s="1"/>
  <c r="W8" i="14"/>
  <c r="AC8" i="14" s="1"/>
  <c r="U8" i="14"/>
  <c r="T8" i="14"/>
  <c r="R8" i="14"/>
  <c r="Q8" i="14"/>
  <c r="M8" i="14"/>
  <c r="L8" i="14"/>
  <c r="H8" i="14"/>
  <c r="AA7" i="14"/>
  <c r="AG7" i="14" s="1"/>
  <c r="Z7" i="14"/>
  <c r="AF7" i="14" s="1"/>
  <c r="X7" i="14"/>
  <c r="AD7" i="14" s="1"/>
  <c r="W7" i="14"/>
  <c r="AC7" i="14" s="1"/>
  <c r="U7" i="14"/>
  <c r="T7" i="14"/>
  <c r="R7" i="14"/>
  <c r="Q7" i="14"/>
  <c r="M7" i="14"/>
  <c r="L7" i="14"/>
  <c r="H7" i="14"/>
  <c r="AA6" i="14"/>
  <c r="AG6" i="14" s="1"/>
  <c r="Z6" i="14"/>
  <c r="AF6" i="14" s="1"/>
  <c r="X6" i="14"/>
  <c r="AD6" i="14" s="1"/>
  <c r="W6" i="14"/>
  <c r="AC6" i="14" s="1"/>
  <c r="U6" i="14"/>
  <c r="T6" i="14"/>
  <c r="R6" i="14"/>
  <c r="Q6" i="14"/>
  <c r="M6" i="14"/>
  <c r="L6" i="14"/>
  <c r="S6" i="14" s="1"/>
  <c r="H6" i="14"/>
  <c r="AA5" i="14"/>
  <c r="AG5" i="14" s="1"/>
  <c r="Z5" i="14"/>
  <c r="AF5" i="14" s="1"/>
  <c r="X5" i="14"/>
  <c r="AD5" i="14" s="1"/>
  <c r="W5" i="14"/>
  <c r="Y5" i="14" s="1"/>
  <c r="U5" i="14"/>
  <c r="T5" i="14"/>
  <c r="R5" i="14"/>
  <c r="Q5" i="14"/>
  <c r="M5" i="14"/>
  <c r="L5" i="14"/>
  <c r="H5" i="14"/>
  <c r="AA4" i="14"/>
  <c r="AG4" i="14" s="1"/>
  <c r="Z4" i="14"/>
  <c r="AF4" i="14" s="1"/>
  <c r="X4" i="14"/>
  <c r="AD4" i="14" s="1"/>
  <c r="W4" i="14"/>
  <c r="AC4" i="14" s="1"/>
  <c r="U4" i="14"/>
  <c r="T4" i="14"/>
  <c r="R4" i="14"/>
  <c r="Q4" i="14"/>
  <c r="M4" i="14"/>
  <c r="L4" i="14"/>
  <c r="H4" i="14"/>
  <c r="AA134" i="13"/>
  <c r="AG134" i="13" s="1"/>
  <c r="Z134" i="13"/>
  <c r="AB134" i="13" s="1"/>
  <c r="X134" i="13"/>
  <c r="AD134" i="13" s="1"/>
  <c r="W134" i="13"/>
  <c r="Y134" i="13" s="1"/>
  <c r="U134" i="13"/>
  <c r="T134" i="13"/>
  <c r="R134" i="13"/>
  <c r="Q134" i="13"/>
  <c r="M134" i="13"/>
  <c r="L134" i="13"/>
  <c r="H134" i="13"/>
  <c r="AA133" i="13"/>
  <c r="AG133" i="13" s="1"/>
  <c r="Z133" i="13"/>
  <c r="X133" i="13"/>
  <c r="AD133" i="13" s="1"/>
  <c r="W133" i="13"/>
  <c r="U133" i="13"/>
  <c r="T133" i="13"/>
  <c r="R133" i="13"/>
  <c r="Q133" i="13"/>
  <c r="M133" i="13"/>
  <c r="L133" i="13"/>
  <c r="H133" i="13"/>
  <c r="AD132" i="13"/>
  <c r="AA132" i="13"/>
  <c r="AG132" i="13" s="1"/>
  <c r="Z132" i="13"/>
  <c r="AF132" i="13" s="1"/>
  <c r="X132" i="13"/>
  <c r="W132" i="13"/>
  <c r="AC132" i="13" s="1"/>
  <c r="U132" i="13"/>
  <c r="T132" i="13"/>
  <c r="R132" i="13"/>
  <c r="Q132" i="13"/>
  <c r="M132" i="13"/>
  <c r="L132" i="13"/>
  <c r="H132" i="13"/>
  <c r="AA131" i="13"/>
  <c r="AG131" i="13" s="1"/>
  <c r="Z131" i="13"/>
  <c r="AB131" i="13" s="1"/>
  <c r="X131" i="13"/>
  <c r="AD131" i="13" s="1"/>
  <c r="W131" i="13"/>
  <c r="Y131" i="13" s="1"/>
  <c r="U131" i="13"/>
  <c r="T131" i="13"/>
  <c r="R131" i="13"/>
  <c r="Q131" i="13"/>
  <c r="M131" i="13"/>
  <c r="L131" i="13"/>
  <c r="H131" i="13"/>
  <c r="AA130" i="13"/>
  <c r="AG130" i="13" s="1"/>
  <c r="Z130" i="13"/>
  <c r="X130" i="13"/>
  <c r="AD130" i="13" s="1"/>
  <c r="W130" i="13"/>
  <c r="AC130" i="13" s="1"/>
  <c r="U130" i="13"/>
  <c r="T130" i="13"/>
  <c r="R130" i="13"/>
  <c r="Q130" i="13"/>
  <c r="M130" i="13"/>
  <c r="L130" i="13"/>
  <c r="S130" i="13" s="1"/>
  <c r="H130" i="13"/>
  <c r="AA129" i="13"/>
  <c r="AG129" i="13" s="1"/>
  <c r="Z129" i="13"/>
  <c r="AF129" i="13" s="1"/>
  <c r="X129" i="13"/>
  <c r="AD129" i="13" s="1"/>
  <c r="W129" i="13"/>
  <c r="Y129" i="13" s="1"/>
  <c r="U129" i="13"/>
  <c r="T129" i="13"/>
  <c r="R129" i="13"/>
  <c r="Q129" i="13"/>
  <c r="M129" i="13"/>
  <c r="L129" i="13"/>
  <c r="S129" i="13" s="1"/>
  <c r="H129" i="13"/>
  <c r="AA128" i="13"/>
  <c r="AG128" i="13" s="1"/>
  <c r="Z128" i="13"/>
  <c r="X128" i="13"/>
  <c r="AD128" i="13" s="1"/>
  <c r="W128" i="13"/>
  <c r="AC128" i="13" s="1"/>
  <c r="U128" i="13"/>
  <c r="T128" i="13"/>
  <c r="R128" i="13"/>
  <c r="Q128" i="13"/>
  <c r="M128" i="13"/>
  <c r="L128" i="13"/>
  <c r="S128" i="13" s="1"/>
  <c r="H128" i="13"/>
  <c r="AA127" i="13"/>
  <c r="AG127" i="13" s="1"/>
  <c r="Z127" i="13"/>
  <c r="X127" i="13"/>
  <c r="AD127" i="13" s="1"/>
  <c r="W127" i="13"/>
  <c r="Y127" i="13" s="1"/>
  <c r="U127" i="13"/>
  <c r="T127" i="13"/>
  <c r="R127" i="13"/>
  <c r="Q127" i="13"/>
  <c r="M127" i="13"/>
  <c r="L127" i="13"/>
  <c r="H127" i="13"/>
  <c r="AA126" i="13"/>
  <c r="AG126" i="13" s="1"/>
  <c r="Z126" i="13"/>
  <c r="X126" i="13"/>
  <c r="AD126" i="13" s="1"/>
  <c r="W126" i="13"/>
  <c r="AC126" i="13" s="1"/>
  <c r="U126" i="13"/>
  <c r="T126" i="13"/>
  <c r="R126" i="13"/>
  <c r="Q126" i="13"/>
  <c r="M126" i="13"/>
  <c r="L126" i="13"/>
  <c r="H126" i="13"/>
  <c r="AA125" i="13"/>
  <c r="AG125" i="13" s="1"/>
  <c r="Z125" i="13"/>
  <c r="X125" i="13"/>
  <c r="AD125" i="13" s="1"/>
  <c r="W125" i="13"/>
  <c r="AC125" i="13" s="1"/>
  <c r="U125" i="13"/>
  <c r="T125" i="13"/>
  <c r="R125" i="13"/>
  <c r="Q125" i="13"/>
  <c r="M125" i="13"/>
  <c r="L125" i="13"/>
  <c r="H125" i="13"/>
  <c r="AA124" i="13"/>
  <c r="AG124" i="13" s="1"/>
  <c r="Z124" i="13"/>
  <c r="X124" i="13"/>
  <c r="AD124" i="13" s="1"/>
  <c r="W124" i="13"/>
  <c r="AC124" i="13" s="1"/>
  <c r="U124" i="13"/>
  <c r="T124" i="13"/>
  <c r="R124" i="13"/>
  <c r="Q124" i="13"/>
  <c r="M124" i="13"/>
  <c r="L124" i="13"/>
  <c r="H124" i="13"/>
  <c r="AA123" i="13"/>
  <c r="AG123" i="13" s="1"/>
  <c r="Z123" i="13"/>
  <c r="X123" i="13"/>
  <c r="AD123" i="13" s="1"/>
  <c r="W123" i="13"/>
  <c r="U123" i="13"/>
  <c r="T123" i="13"/>
  <c r="R123" i="13"/>
  <c r="Q123" i="13"/>
  <c r="M123" i="13"/>
  <c r="L123" i="13"/>
  <c r="H123" i="13"/>
  <c r="AA122" i="13"/>
  <c r="AG122" i="13" s="1"/>
  <c r="Z122" i="13"/>
  <c r="AF122" i="13" s="1"/>
  <c r="X122" i="13"/>
  <c r="AD122" i="13" s="1"/>
  <c r="W122" i="13"/>
  <c r="U122" i="13"/>
  <c r="T122" i="13"/>
  <c r="R122" i="13"/>
  <c r="Q122" i="13"/>
  <c r="M122" i="13"/>
  <c r="L122" i="13"/>
  <c r="H122" i="13"/>
  <c r="AA121" i="13"/>
  <c r="AG121" i="13" s="1"/>
  <c r="Z121" i="13"/>
  <c r="X121" i="13"/>
  <c r="AD121" i="13" s="1"/>
  <c r="W121" i="13"/>
  <c r="Y121" i="13" s="1"/>
  <c r="U121" i="13"/>
  <c r="T121" i="13"/>
  <c r="R121" i="13"/>
  <c r="Q121" i="13"/>
  <c r="M121" i="13"/>
  <c r="L121" i="13"/>
  <c r="H121" i="13"/>
  <c r="AA120" i="13"/>
  <c r="AG120" i="13" s="1"/>
  <c r="Z120" i="13"/>
  <c r="AF120" i="13" s="1"/>
  <c r="X120" i="13"/>
  <c r="AD120" i="13" s="1"/>
  <c r="W120" i="13"/>
  <c r="Y120" i="13" s="1"/>
  <c r="U120" i="13"/>
  <c r="T120" i="13"/>
  <c r="R120" i="13"/>
  <c r="Q120" i="13"/>
  <c r="M120" i="13"/>
  <c r="L120" i="13"/>
  <c r="H120" i="13"/>
  <c r="AA119" i="13"/>
  <c r="AG119" i="13" s="1"/>
  <c r="Z119" i="13"/>
  <c r="AF119" i="13" s="1"/>
  <c r="X119" i="13"/>
  <c r="AD119" i="13" s="1"/>
  <c r="W119" i="13"/>
  <c r="AC119" i="13" s="1"/>
  <c r="U119" i="13"/>
  <c r="T119" i="13"/>
  <c r="R119" i="13"/>
  <c r="Q119" i="13"/>
  <c r="M119" i="13"/>
  <c r="L119" i="13"/>
  <c r="H119" i="13"/>
  <c r="AA118" i="13"/>
  <c r="AG118" i="13" s="1"/>
  <c r="Z118" i="13"/>
  <c r="X118" i="13"/>
  <c r="AD118" i="13" s="1"/>
  <c r="W118" i="13"/>
  <c r="AC118" i="13" s="1"/>
  <c r="U118" i="13"/>
  <c r="T118" i="13"/>
  <c r="R118" i="13"/>
  <c r="Q118" i="13"/>
  <c r="M118" i="13"/>
  <c r="L118" i="13"/>
  <c r="H118" i="13"/>
  <c r="AA117" i="13"/>
  <c r="AG117" i="13" s="1"/>
  <c r="Z117" i="13"/>
  <c r="AF117" i="13" s="1"/>
  <c r="X117" i="13"/>
  <c r="AD117" i="13" s="1"/>
  <c r="W117" i="13"/>
  <c r="U117" i="13"/>
  <c r="T117" i="13"/>
  <c r="R117" i="13"/>
  <c r="Q117" i="13"/>
  <c r="M117" i="13"/>
  <c r="L117" i="13"/>
  <c r="H117" i="13"/>
  <c r="AA116" i="13"/>
  <c r="AG116" i="13" s="1"/>
  <c r="Z116" i="13"/>
  <c r="X116" i="13"/>
  <c r="AD116" i="13" s="1"/>
  <c r="W116" i="13"/>
  <c r="U116" i="13"/>
  <c r="T116" i="13"/>
  <c r="R116" i="13"/>
  <c r="Q116" i="13"/>
  <c r="M116" i="13"/>
  <c r="L116" i="13"/>
  <c r="H116" i="13"/>
  <c r="AA115" i="13"/>
  <c r="AG115" i="13" s="1"/>
  <c r="Z115" i="13"/>
  <c r="AF115" i="13" s="1"/>
  <c r="X115" i="13"/>
  <c r="AD115" i="13" s="1"/>
  <c r="W115" i="13"/>
  <c r="U115" i="13"/>
  <c r="T115" i="13"/>
  <c r="R115" i="13"/>
  <c r="Q115" i="13"/>
  <c r="M115" i="13"/>
  <c r="L115" i="13"/>
  <c r="S115" i="13" s="1"/>
  <c r="H115" i="13"/>
  <c r="AA114" i="13"/>
  <c r="AG114" i="13" s="1"/>
  <c r="Z114" i="13"/>
  <c r="X114" i="13"/>
  <c r="AD114" i="13" s="1"/>
  <c r="W114" i="13"/>
  <c r="Y114" i="13" s="1"/>
  <c r="U114" i="13"/>
  <c r="T114" i="13"/>
  <c r="R114" i="13"/>
  <c r="Q114" i="13"/>
  <c r="M114" i="13"/>
  <c r="L114" i="13"/>
  <c r="H114" i="13"/>
  <c r="AA113" i="13"/>
  <c r="AG113" i="13" s="1"/>
  <c r="Z113" i="13"/>
  <c r="AF113" i="13" s="1"/>
  <c r="X113" i="13"/>
  <c r="AD113" i="13" s="1"/>
  <c r="W113" i="13"/>
  <c r="U113" i="13"/>
  <c r="T113" i="13"/>
  <c r="R113" i="13"/>
  <c r="Q113" i="13"/>
  <c r="M113" i="13"/>
  <c r="L113" i="13"/>
  <c r="H113" i="13"/>
  <c r="AA112" i="13"/>
  <c r="AG112" i="13" s="1"/>
  <c r="Z112" i="13"/>
  <c r="AF112" i="13" s="1"/>
  <c r="X112" i="13"/>
  <c r="AD112" i="13" s="1"/>
  <c r="W112" i="13"/>
  <c r="AC112" i="13" s="1"/>
  <c r="U112" i="13"/>
  <c r="T112" i="13"/>
  <c r="R112" i="13"/>
  <c r="Q112" i="13"/>
  <c r="M112" i="13"/>
  <c r="L112" i="13"/>
  <c r="H112" i="13"/>
  <c r="AA111" i="13"/>
  <c r="AG111" i="13" s="1"/>
  <c r="Z111" i="13"/>
  <c r="AF111" i="13" s="1"/>
  <c r="X111" i="13"/>
  <c r="AD111" i="13" s="1"/>
  <c r="W111" i="13"/>
  <c r="AC111" i="13" s="1"/>
  <c r="U111" i="13"/>
  <c r="T111" i="13"/>
  <c r="R111" i="13"/>
  <c r="Q111" i="13"/>
  <c r="M111" i="13"/>
  <c r="L111" i="13"/>
  <c r="H111" i="13"/>
  <c r="AA110" i="13"/>
  <c r="AG110" i="13" s="1"/>
  <c r="Z110" i="13"/>
  <c r="AF110" i="13" s="1"/>
  <c r="X110" i="13"/>
  <c r="AD110" i="13" s="1"/>
  <c r="W110" i="13"/>
  <c r="AC110" i="13" s="1"/>
  <c r="U110" i="13"/>
  <c r="T110" i="13"/>
  <c r="R110" i="13"/>
  <c r="Q110" i="13"/>
  <c r="M110" i="13"/>
  <c r="L110" i="13"/>
  <c r="S110" i="13" s="1"/>
  <c r="H110" i="13"/>
  <c r="AA109" i="13"/>
  <c r="AG109" i="13" s="1"/>
  <c r="Z109" i="13"/>
  <c r="X109" i="13"/>
  <c r="AD109" i="13" s="1"/>
  <c r="W109" i="13"/>
  <c r="AC109" i="13" s="1"/>
  <c r="U109" i="13"/>
  <c r="T109" i="13"/>
  <c r="R109" i="13"/>
  <c r="Q109" i="13"/>
  <c r="M109" i="13"/>
  <c r="L109" i="13"/>
  <c r="H109" i="13"/>
  <c r="AA108" i="13"/>
  <c r="AG108" i="13" s="1"/>
  <c r="Z108" i="13"/>
  <c r="AB108" i="13" s="1"/>
  <c r="X108" i="13"/>
  <c r="AD108" i="13" s="1"/>
  <c r="W108" i="13"/>
  <c r="Y108" i="13" s="1"/>
  <c r="U108" i="13"/>
  <c r="T108" i="13"/>
  <c r="R108" i="13"/>
  <c r="Q108" i="13"/>
  <c r="M108" i="13"/>
  <c r="L108" i="13"/>
  <c r="H108" i="13"/>
  <c r="AA107" i="13"/>
  <c r="AG107" i="13" s="1"/>
  <c r="Z107" i="13"/>
  <c r="AB107" i="13" s="1"/>
  <c r="X107" i="13"/>
  <c r="AD107" i="13" s="1"/>
  <c r="W107" i="13"/>
  <c r="Y107" i="13" s="1"/>
  <c r="U107" i="13"/>
  <c r="T107" i="13"/>
  <c r="R107" i="13"/>
  <c r="Q107" i="13"/>
  <c r="M107" i="13"/>
  <c r="L107" i="13"/>
  <c r="H107" i="13"/>
  <c r="AA106" i="13"/>
  <c r="AG106" i="13" s="1"/>
  <c r="Z106" i="13"/>
  <c r="AF106" i="13" s="1"/>
  <c r="X106" i="13"/>
  <c r="AD106" i="13" s="1"/>
  <c r="W106" i="13"/>
  <c r="U106" i="13"/>
  <c r="T106" i="13"/>
  <c r="R106" i="13"/>
  <c r="Q106" i="13"/>
  <c r="M106" i="13"/>
  <c r="L106" i="13"/>
  <c r="H106" i="13"/>
  <c r="AA105" i="13"/>
  <c r="AG105" i="13" s="1"/>
  <c r="Z105" i="13"/>
  <c r="X105" i="13"/>
  <c r="AD105" i="13" s="1"/>
  <c r="W105" i="13"/>
  <c r="Y105" i="13" s="1"/>
  <c r="U105" i="13"/>
  <c r="T105" i="13"/>
  <c r="R105" i="13"/>
  <c r="Q105" i="13"/>
  <c r="M105" i="13"/>
  <c r="L105" i="13"/>
  <c r="H105" i="13"/>
  <c r="AD104" i="13"/>
  <c r="AA104" i="13"/>
  <c r="AG104" i="13" s="1"/>
  <c r="Z104" i="13"/>
  <c r="AF104" i="13" s="1"/>
  <c r="X104" i="13"/>
  <c r="W104" i="13"/>
  <c r="Y104" i="13" s="1"/>
  <c r="U104" i="13"/>
  <c r="T104" i="13"/>
  <c r="R104" i="13"/>
  <c r="Q104" i="13"/>
  <c r="M104" i="13"/>
  <c r="L104" i="13"/>
  <c r="H104" i="13"/>
  <c r="AA103" i="13"/>
  <c r="AG103" i="13" s="1"/>
  <c r="Z103" i="13"/>
  <c r="AF103" i="13" s="1"/>
  <c r="X103" i="13"/>
  <c r="AD103" i="13" s="1"/>
  <c r="W103" i="13"/>
  <c r="AC103" i="13" s="1"/>
  <c r="U103" i="13"/>
  <c r="T103" i="13"/>
  <c r="R103" i="13"/>
  <c r="Q103" i="13"/>
  <c r="M103" i="13"/>
  <c r="L103" i="13"/>
  <c r="S103" i="13" s="1"/>
  <c r="H103" i="13"/>
  <c r="AA102" i="13"/>
  <c r="AG102" i="13" s="1"/>
  <c r="Z102" i="13"/>
  <c r="X102" i="13"/>
  <c r="AD102" i="13" s="1"/>
  <c r="W102" i="13"/>
  <c r="U102" i="13"/>
  <c r="T102" i="13"/>
  <c r="R102" i="13"/>
  <c r="Q102" i="13"/>
  <c r="M102" i="13"/>
  <c r="L102" i="13"/>
  <c r="H102" i="13"/>
  <c r="AA101" i="13"/>
  <c r="AG101" i="13" s="1"/>
  <c r="Z101" i="13"/>
  <c r="AB101" i="13" s="1"/>
  <c r="X101" i="13"/>
  <c r="AD101" i="13" s="1"/>
  <c r="W101" i="13"/>
  <c r="U101" i="13"/>
  <c r="T101" i="13"/>
  <c r="R101" i="13"/>
  <c r="Q101" i="13"/>
  <c r="M101" i="13"/>
  <c r="L101" i="13"/>
  <c r="H101" i="13"/>
  <c r="AA100" i="13"/>
  <c r="AG100" i="13" s="1"/>
  <c r="Z100" i="13"/>
  <c r="AF100" i="13" s="1"/>
  <c r="X100" i="13"/>
  <c r="AD100" i="13" s="1"/>
  <c r="W100" i="13"/>
  <c r="U100" i="13"/>
  <c r="T100" i="13"/>
  <c r="R100" i="13"/>
  <c r="Q100" i="13"/>
  <c r="M100" i="13"/>
  <c r="L100" i="13"/>
  <c r="H100" i="13"/>
  <c r="AA99" i="13"/>
  <c r="AG99" i="13" s="1"/>
  <c r="Z99" i="13"/>
  <c r="AF99" i="13" s="1"/>
  <c r="X99" i="13"/>
  <c r="AD99" i="13" s="1"/>
  <c r="W99" i="13"/>
  <c r="U99" i="13"/>
  <c r="T99" i="13"/>
  <c r="R99" i="13"/>
  <c r="Q99" i="13"/>
  <c r="M99" i="13"/>
  <c r="L99" i="13"/>
  <c r="H99" i="13"/>
  <c r="AA98" i="13"/>
  <c r="AG98" i="13" s="1"/>
  <c r="Z98" i="13"/>
  <c r="X98" i="13"/>
  <c r="AD98" i="13" s="1"/>
  <c r="W98" i="13"/>
  <c r="AC98" i="13" s="1"/>
  <c r="U98" i="13"/>
  <c r="T98" i="13"/>
  <c r="R98" i="13"/>
  <c r="Q98" i="13"/>
  <c r="M98" i="13"/>
  <c r="L98" i="13"/>
  <c r="H98" i="13"/>
  <c r="AA97" i="13"/>
  <c r="AG97" i="13" s="1"/>
  <c r="Z97" i="13"/>
  <c r="X97" i="13"/>
  <c r="AD97" i="13" s="1"/>
  <c r="W97" i="13"/>
  <c r="AC97" i="13" s="1"/>
  <c r="U97" i="13"/>
  <c r="T97" i="13"/>
  <c r="R97" i="13"/>
  <c r="Q97" i="13"/>
  <c r="M97" i="13"/>
  <c r="L97" i="13"/>
  <c r="H97" i="13"/>
  <c r="AA96" i="13"/>
  <c r="AG96" i="13" s="1"/>
  <c r="Z96" i="13"/>
  <c r="AF96" i="13" s="1"/>
  <c r="X96" i="13"/>
  <c r="AD96" i="13" s="1"/>
  <c r="W96" i="13"/>
  <c r="AC96" i="13" s="1"/>
  <c r="U96" i="13"/>
  <c r="T96" i="13"/>
  <c r="R96" i="13"/>
  <c r="Q96" i="13"/>
  <c r="M96" i="13"/>
  <c r="L96" i="13"/>
  <c r="H96" i="13"/>
  <c r="AA95" i="13"/>
  <c r="AG95" i="13" s="1"/>
  <c r="Z95" i="13"/>
  <c r="X95" i="13"/>
  <c r="AD95" i="13" s="1"/>
  <c r="W95" i="13"/>
  <c r="AC95" i="13" s="1"/>
  <c r="U95" i="13"/>
  <c r="T95" i="13"/>
  <c r="R95" i="13"/>
  <c r="Q95" i="13"/>
  <c r="M95" i="13"/>
  <c r="L95" i="13"/>
  <c r="S95" i="13" s="1"/>
  <c r="H95" i="13"/>
  <c r="AA94" i="13"/>
  <c r="AG94" i="13" s="1"/>
  <c r="Z94" i="13"/>
  <c r="X94" i="13"/>
  <c r="AD94" i="13" s="1"/>
  <c r="W94" i="13"/>
  <c r="AC94" i="13" s="1"/>
  <c r="U94" i="13"/>
  <c r="T94" i="13"/>
  <c r="R94" i="13"/>
  <c r="Q94" i="13"/>
  <c r="M94" i="13"/>
  <c r="L94" i="13"/>
  <c r="H94" i="13"/>
  <c r="AA93" i="13"/>
  <c r="AG93" i="13" s="1"/>
  <c r="Z93" i="13"/>
  <c r="AB93" i="13" s="1"/>
  <c r="X93" i="13"/>
  <c r="AD93" i="13" s="1"/>
  <c r="W93" i="13"/>
  <c r="U93" i="13"/>
  <c r="T93" i="13"/>
  <c r="R93" i="13"/>
  <c r="Q93" i="13"/>
  <c r="M93" i="13"/>
  <c r="L93" i="13"/>
  <c r="S93" i="13" s="1"/>
  <c r="H93" i="13"/>
  <c r="AA92" i="13"/>
  <c r="AG92" i="13" s="1"/>
  <c r="Z92" i="13"/>
  <c r="AB92" i="13" s="1"/>
  <c r="X92" i="13"/>
  <c r="AD92" i="13" s="1"/>
  <c r="W92" i="13"/>
  <c r="Y92" i="13" s="1"/>
  <c r="U92" i="13"/>
  <c r="T92" i="13"/>
  <c r="R92" i="13"/>
  <c r="Q92" i="13"/>
  <c r="M92" i="13"/>
  <c r="L92" i="13"/>
  <c r="H92" i="13"/>
  <c r="AA91" i="13"/>
  <c r="AG91" i="13" s="1"/>
  <c r="Z91" i="13"/>
  <c r="X91" i="13"/>
  <c r="AD91" i="13" s="1"/>
  <c r="W91" i="13"/>
  <c r="Y91" i="13" s="1"/>
  <c r="U91" i="13"/>
  <c r="T91" i="13"/>
  <c r="R91" i="13"/>
  <c r="Q91" i="13"/>
  <c r="M91" i="13"/>
  <c r="L91" i="13"/>
  <c r="H91" i="13"/>
  <c r="AA90" i="13"/>
  <c r="AG90" i="13" s="1"/>
  <c r="Z90" i="13"/>
  <c r="AF90" i="13" s="1"/>
  <c r="X90" i="13"/>
  <c r="AD90" i="13" s="1"/>
  <c r="W90" i="13"/>
  <c r="AC90" i="13" s="1"/>
  <c r="U90" i="13"/>
  <c r="T90" i="13"/>
  <c r="R90" i="13"/>
  <c r="Q90" i="13"/>
  <c r="M90" i="13"/>
  <c r="L90" i="13"/>
  <c r="H90" i="13"/>
  <c r="AA89" i="13"/>
  <c r="AG89" i="13" s="1"/>
  <c r="Z89" i="13"/>
  <c r="AF89" i="13" s="1"/>
  <c r="X89" i="13"/>
  <c r="AD89" i="13" s="1"/>
  <c r="W89" i="13"/>
  <c r="AC89" i="13" s="1"/>
  <c r="U89" i="13"/>
  <c r="T89" i="13"/>
  <c r="R89" i="13"/>
  <c r="Q89" i="13"/>
  <c r="M89" i="13"/>
  <c r="L89" i="13"/>
  <c r="H89" i="13"/>
  <c r="AA88" i="13"/>
  <c r="AG88" i="13" s="1"/>
  <c r="Z88" i="13"/>
  <c r="AB88" i="13" s="1"/>
  <c r="X88" i="13"/>
  <c r="AD88" i="13" s="1"/>
  <c r="W88" i="13"/>
  <c r="U88" i="13"/>
  <c r="T88" i="13"/>
  <c r="R88" i="13"/>
  <c r="Q88" i="13"/>
  <c r="M88" i="13"/>
  <c r="L88" i="13"/>
  <c r="H88" i="13"/>
  <c r="AA87" i="13"/>
  <c r="AG87" i="13" s="1"/>
  <c r="Z87" i="13"/>
  <c r="X87" i="13"/>
  <c r="AD87" i="13" s="1"/>
  <c r="W87" i="13"/>
  <c r="U87" i="13"/>
  <c r="T87" i="13"/>
  <c r="R87" i="13"/>
  <c r="Q87" i="13"/>
  <c r="M87" i="13"/>
  <c r="L87" i="13"/>
  <c r="H87" i="13"/>
  <c r="AA86" i="13"/>
  <c r="AG86" i="13" s="1"/>
  <c r="Z86" i="13"/>
  <c r="X86" i="13"/>
  <c r="AD86" i="13" s="1"/>
  <c r="W86" i="13"/>
  <c r="U86" i="13"/>
  <c r="T86" i="13"/>
  <c r="R86" i="13"/>
  <c r="Q86" i="13"/>
  <c r="M86" i="13"/>
  <c r="L86" i="13"/>
  <c r="S86" i="13" s="1"/>
  <c r="H86" i="13"/>
  <c r="AA85" i="13"/>
  <c r="AG85" i="13" s="1"/>
  <c r="Z85" i="13"/>
  <c r="AF85" i="13" s="1"/>
  <c r="X85" i="13"/>
  <c r="AD85" i="13" s="1"/>
  <c r="W85" i="13"/>
  <c r="U85" i="13"/>
  <c r="T85" i="13"/>
  <c r="R85" i="13"/>
  <c r="Q85" i="13"/>
  <c r="M85" i="13"/>
  <c r="L85" i="13"/>
  <c r="H85" i="13"/>
  <c r="AA84" i="13"/>
  <c r="AG84" i="13" s="1"/>
  <c r="Z84" i="13"/>
  <c r="AF84" i="13" s="1"/>
  <c r="X84" i="13"/>
  <c r="AD84" i="13" s="1"/>
  <c r="W84" i="13"/>
  <c r="Y84" i="13" s="1"/>
  <c r="U84" i="13"/>
  <c r="T84" i="13"/>
  <c r="R84" i="13"/>
  <c r="Q84" i="13"/>
  <c r="M84" i="13"/>
  <c r="L84" i="13"/>
  <c r="S84" i="13" s="1"/>
  <c r="H84" i="13"/>
  <c r="AA83" i="13"/>
  <c r="AG83" i="13" s="1"/>
  <c r="Z83" i="13"/>
  <c r="X83" i="13"/>
  <c r="AD83" i="13" s="1"/>
  <c r="W83" i="13"/>
  <c r="U83" i="13"/>
  <c r="T83" i="13"/>
  <c r="R83" i="13"/>
  <c r="Q83" i="13"/>
  <c r="M83" i="13"/>
  <c r="L83" i="13"/>
  <c r="H83" i="13"/>
  <c r="AA82" i="13"/>
  <c r="AG82" i="13" s="1"/>
  <c r="Z82" i="13"/>
  <c r="X82" i="13"/>
  <c r="AD82" i="13" s="1"/>
  <c r="W82" i="13"/>
  <c r="Y82" i="13" s="1"/>
  <c r="U82" i="13"/>
  <c r="T82" i="13"/>
  <c r="R82" i="13"/>
  <c r="Q82" i="13"/>
  <c r="M82" i="13"/>
  <c r="L82" i="13"/>
  <c r="H82" i="13"/>
  <c r="AA81" i="13"/>
  <c r="AG81" i="13" s="1"/>
  <c r="Z81" i="13"/>
  <c r="X81" i="13"/>
  <c r="AD81" i="13" s="1"/>
  <c r="W81" i="13"/>
  <c r="U81" i="13"/>
  <c r="T81" i="13"/>
  <c r="R81" i="13"/>
  <c r="Q81" i="13"/>
  <c r="M81" i="13"/>
  <c r="L81" i="13"/>
  <c r="S81" i="13" s="1"/>
  <c r="H81" i="13"/>
  <c r="AA80" i="13"/>
  <c r="AG80" i="13" s="1"/>
  <c r="Z80" i="13"/>
  <c r="X80" i="13"/>
  <c r="AD80" i="13" s="1"/>
  <c r="W80" i="13"/>
  <c r="U80" i="13"/>
  <c r="T80" i="13"/>
  <c r="R80" i="13"/>
  <c r="Q80" i="13"/>
  <c r="M80" i="13"/>
  <c r="L80" i="13"/>
  <c r="H80" i="13"/>
  <c r="AA79" i="13"/>
  <c r="AG79" i="13" s="1"/>
  <c r="Z79" i="13"/>
  <c r="X79" i="13"/>
  <c r="AD79" i="13" s="1"/>
  <c r="W79" i="13"/>
  <c r="Y79" i="13" s="1"/>
  <c r="U79" i="13"/>
  <c r="T79" i="13"/>
  <c r="R79" i="13"/>
  <c r="Q79" i="13"/>
  <c r="M79" i="13"/>
  <c r="L79" i="13"/>
  <c r="H79" i="13"/>
  <c r="AA78" i="13"/>
  <c r="AG78" i="13" s="1"/>
  <c r="Z78" i="13"/>
  <c r="AB78" i="13" s="1"/>
  <c r="X78" i="13"/>
  <c r="AD78" i="13" s="1"/>
  <c r="W78" i="13"/>
  <c r="U78" i="13"/>
  <c r="T78" i="13"/>
  <c r="R78" i="13"/>
  <c r="Q78" i="13"/>
  <c r="M78" i="13"/>
  <c r="L78" i="13"/>
  <c r="H78" i="13"/>
  <c r="AA77" i="13"/>
  <c r="AG77" i="13" s="1"/>
  <c r="Z77" i="13"/>
  <c r="AB77" i="13" s="1"/>
  <c r="X77" i="13"/>
  <c r="AD77" i="13" s="1"/>
  <c r="W77" i="13"/>
  <c r="AC77" i="13" s="1"/>
  <c r="U77" i="13"/>
  <c r="T77" i="13"/>
  <c r="R77" i="13"/>
  <c r="Q77" i="13"/>
  <c r="M77" i="13"/>
  <c r="L77" i="13"/>
  <c r="S77" i="13" s="1"/>
  <c r="H77" i="13"/>
  <c r="AA76" i="13"/>
  <c r="AG76" i="13" s="1"/>
  <c r="Z76" i="13"/>
  <c r="AF76" i="13" s="1"/>
  <c r="X76" i="13"/>
  <c r="AD76" i="13" s="1"/>
  <c r="W76" i="13"/>
  <c r="AC76" i="13" s="1"/>
  <c r="U76" i="13"/>
  <c r="T76" i="13"/>
  <c r="R76" i="13"/>
  <c r="Q76" i="13"/>
  <c r="M76" i="13"/>
  <c r="L76" i="13"/>
  <c r="S76" i="13" s="1"/>
  <c r="H76" i="13"/>
  <c r="AA75" i="13"/>
  <c r="AG75" i="13" s="1"/>
  <c r="Z75" i="13"/>
  <c r="X75" i="13"/>
  <c r="AD75" i="13" s="1"/>
  <c r="W75" i="13"/>
  <c r="U75" i="13"/>
  <c r="T75" i="13"/>
  <c r="R75" i="13"/>
  <c r="Q75" i="13"/>
  <c r="M75" i="13"/>
  <c r="L75" i="13"/>
  <c r="H75" i="13"/>
  <c r="AA74" i="13"/>
  <c r="AG74" i="13" s="1"/>
  <c r="Z74" i="13"/>
  <c r="X74" i="13"/>
  <c r="AD74" i="13" s="1"/>
  <c r="W74" i="13"/>
  <c r="Y74" i="13" s="1"/>
  <c r="U74" i="13"/>
  <c r="T74" i="13"/>
  <c r="R74" i="13"/>
  <c r="Q74" i="13"/>
  <c r="M74" i="13"/>
  <c r="L74" i="13"/>
  <c r="H74" i="13"/>
  <c r="AA73" i="13"/>
  <c r="AG73" i="13" s="1"/>
  <c r="Z73" i="13"/>
  <c r="X73" i="13"/>
  <c r="AD73" i="13" s="1"/>
  <c r="W73" i="13"/>
  <c r="U73" i="13"/>
  <c r="T73" i="13"/>
  <c r="R73" i="13"/>
  <c r="Q73" i="13"/>
  <c r="M73" i="13"/>
  <c r="L73" i="13"/>
  <c r="H73" i="13"/>
  <c r="AA72" i="13"/>
  <c r="AG72" i="13" s="1"/>
  <c r="Z72" i="13"/>
  <c r="X72" i="13"/>
  <c r="AD72" i="13" s="1"/>
  <c r="W72" i="13"/>
  <c r="U72" i="13"/>
  <c r="T72" i="13"/>
  <c r="R72" i="13"/>
  <c r="Q72" i="13"/>
  <c r="M72" i="13"/>
  <c r="L72" i="13"/>
  <c r="H72" i="13"/>
  <c r="AA71" i="13"/>
  <c r="AG71" i="13" s="1"/>
  <c r="Z71" i="13"/>
  <c r="X71" i="13"/>
  <c r="AD71" i="13" s="1"/>
  <c r="W71" i="13"/>
  <c r="U71" i="13"/>
  <c r="T71" i="13"/>
  <c r="R71" i="13"/>
  <c r="Q71" i="13"/>
  <c r="M71" i="13"/>
  <c r="L71" i="13"/>
  <c r="H71" i="13"/>
  <c r="AA70" i="13"/>
  <c r="AG70" i="13" s="1"/>
  <c r="Z70" i="13"/>
  <c r="AF70" i="13" s="1"/>
  <c r="X70" i="13"/>
  <c r="AD70" i="13" s="1"/>
  <c r="W70" i="13"/>
  <c r="U70" i="13"/>
  <c r="T70" i="13"/>
  <c r="R70" i="13"/>
  <c r="Q70" i="13"/>
  <c r="M70" i="13"/>
  <c r="L70" i="13"/>
  <c r="H70" i="13"/>
  <c r="AA69" i="13"/>
  <c r="AG69" i="13" s="1"/>
  <c r="Z69" i="13"/>
  <c r="AF69" i="13" s="1"/>
  <c r="X69" i="13"/>
  <c r="AD69" i="13" s="1"/>
  <c r="W69" i="13"/>
  <c r="Y69" i="13" s="1"/>
  <c r="U69" i="13"/>
  <c r="T69" i="13"/>
  <c r="R69" i="13"/>
  <c r="Q69" i="13"/>
  <c r="M69" i="13"/>
  <c r="L69" i="13"/>
  <c r="H69" i="13"/>
  <c r="AA68" i="13"/>
  <c r="AG68" i="13" s="1"/>
  <c r="Z68" i="13"/>
  <c r="AF68" i="13" s="1"/>
  <c r="X68" i="13"/>
  <c r="AD68" i="13" s="1"/>
  <c r="W68" i="13"/>
  <c r="U68" i="13"/>
  <c r="T68" i="13"/>
  <c r="R68" i="13"/>
  <c r="Q68" i="13"/>
  <c r="M68" i="13"/>
  <c r="L68" i="13"/>
  <c r="H68" i="13"/>
  <c r="AA67" i="13"/>
  <c r="AG67" i="13" s="1"/>
  <c r="Z67" i="13"/>
  <c r="AB67" i="13" s="1"/>
  <c r="X67" i="13"/>
  <c r="AD67" i="13" s="1"/>
  <c r="W67" i="13"/>
  <c r="U67" i="13"/>
  <c r="T67" i="13"/>
  <c r="R67" i="13"/>
  <c r="Q67" i="13"/>
  <c r="M67" i="13"/>
  <c r="L67" i="13"/>
  <c r="H67" i="13"/>
  <c r="AA66" i="13"/>
  <c r="AG66" i="13" s="1"/>
  <c r="Z66" i="13"/>
  <c r="X66" i="13"/>
  <c r="AD66" i="13" s="1"/>
  <c r="W66" i="13"/>
  <c r="AC66" i="13" s="1"/>
  <c r="U66" i="13"/>
  <c r="T66" i="13"/>
  <c r="R66" i="13"/>
  <c r="Q66" i="13"/>
  <c r="M66" i="13"/>
  <c r="L66" i="13"/>
  <c r="H66" i="13"/>
  <c r="AA65" i="13"/>
  <c r="AG65" i="13" s="1"/>
  <c r="Z65" i="13"/>
  <c r="AB65" i="13" s="1"/>
  <c r="X65" i="13"/>
  <c r="AD65" i="13" s="1"/>
  <c r="W65" i="13"/>
  <c r="U65" i="13"/>
  <c r="T65" i="13"/>
  <c r="R65" i="13"/>
  <c r="Q65" i="13"/>
  <c r="M65" i="13"/>
  <c r="L65" i="13"/>
  <c r="S65" i="13" s="1"/>
  <c r="H65" i="13"/>
  <c r="AA64" i="13"/>
  <c r="AG64" i="13" s="1"/>
  <c r="Z64" i="13"/>
  <c r="X64" i="13"/>
  <c r="AD64" i="13" s="1"/>
  <c r="W64" i="13"/>
  <c r="U64" i="13"/>
  <c r="T64" i="13"/>
  <c r="R64" i="13"/>
  <c r="Q64" i="13"/>
  <c r="M64" i="13"/>
  <c r="L64" i="13"/>
  <c r="H64" i="13"/>
  <c r="AA63" i="13"/>
  <c r="AG63" i="13" s="1"/>
  <c r="Z63" i="13"/>
  <c r="AF63" i="13" s="1"/>
  <c r="X63" i="13"/>
  <c r="AD63" i="13" s="1"/>
  <c r="W63" i="13"/>
  <c r="U63" i="13"/>
  <c r="T63" i="13"/>
  <c r="R63" i="13"/>
  <c r="Q63" i="13"/>
  <c r="M63" i="13"/>
  <c r="L63" i="13"/>
  <c r="S63" i="13" s="1"/>
  <c r="H63" i="13"/>
  <c r="AA62" i="13"/>
  <c r="AG62" i="13" s="1"/>
  <c r="Z62" i="13"/>
  <c r="AF62" i="13" s="1"/>
  <c r="X62" i="13"/>
  <c r="AD62" i="13" s="1"/>
  <c r="W62" i="13"/>
  <c r="AC62" i="13" s="1"/>
  <c r="U62" i="13"/>
  <c r="T62" i="13"/>
  <c r="R62" i="13"/>
  <c r="Q62" i="13"/>
  <c r="M62" i="13"/>
  <c r="L62" i="13"/>
  <c r="S62" i="13" s="1"/>
  <c r="H62" i="13"/>
  <c r="AA61" i="13"/>
  <c r="AG61" i="13" s="1"/>
  <c r="Z61" i="13"/>
  <c r="AF61" i="13" s="1"/>
  <c r="X61" i="13"/>
  <c r="AD61" i="13" s="1"/>
  <c r="W61" i="13"/>
  <c r="U61" i="13"/>
  <c r="T61" i="13"/>
  <c r="R61" i="13"/>
  <c r="Q61" i="13"/>
  <c r="M61" i="13"/>
  <c r="L61" i="13"/>
  <c r="H61" i="13"/>
  <c r="AA60" i="13"/>
  <c r="AG60" i="13" s="1"/>
  <c r="Z60" i="13"/>
  <c r="X60" i="13"/>
  <c r="AD60" i="13" s="1"/>
  <c r="W60" i="13"/>
  <c r="U60" i="13"/>
  <c r="T60" i="13"/>
  <c r="R60" i="13"/>
  <c r="Q60" i="13"/>
  <c r="M60" i="13"/>
  <c r="L60" i="13"/>
  <c r="S60" i="13" s="1"/>
  <c r="H60" i="13"/>
  <c r="AA59" i="13"/>
  <c r="AG59" i="13" s="1"/>
  <c r="Z59" i="13"/>
  <c r="X59" i="13"/>
  <c r="AD59" i="13" s="1"/>
  <c r="W59" i="13"/>
  <c r="Y59" i="13" s="1"/>
  <c r="U59" i="13"/>
  <c r="T59" i="13"/>
  <c r="R59" i="13"/>
  <c r="Q59" i="13"/>
  <c r="M59" i="13"/>
  <c r="L59" i="13"/>
  <c r="S59" i="13" s="1"/>
  <c r="H59" i="13"/>
  <c r="AA58" i="13"/>
  <c r="AG58" i="13" s="1"/>
  <c r="Z58" i="13"/>
  <c r="AF58" i="13" s="1"/>
  <c r="X58" i="13"/>
  <c r="AD58" i="13" s="1"/>
  <c r="W58" i="13"/>
  <c r="U58" i="13"/>
  <c r="T58" i="13"/>
  <c r="R58" i="13"/>
  <c r="Q58" i="13"/>
  <c r="M58" i="13"/>
  <c r="L58" i="13"/>
  <c r="H58" i="13"/>
  <c r="AA57" i="13"/>
  <c r="AG57" i="13" s="1"/>
  <c r="Z57" i="13"/>
  <c r="AF57" i="13" s="1"/>
  <c r="X57" i="13"/>
  <c r="AD57" i="13" s="1"/>
  <c r="W57" i="13"/>
  <c r="AC57" i="13" s="1"/>
  <c r="U57" i="13"/>
  <c r="T57" i="13"/>
  <c r="R57" i="13"/>
  <c r="Q57" i="13"/>
  <c r="M57" i="13"/>
  <c r="L57" i="13"/>
  <c r="S57" i="13" s="1"/>
  <c r="V57" i="13" s="1"/>
  <c r="H57" i="13"/>
  <c r="AA56" i="13"/>
  <c r="AG56" i="13" s="1"/>
  <c r="Z56" i="13"/>
  <c r="AF56" i="13" s="1"/>
  <c r="X56" i="13"/>
  <c r="AD56" i="13" s="1"/>
  <c r="W56" i="13"/>
  <c r="Y56" i="13" s="1"/>
  <c r="U56" i="13"/>
  <c r="T56" i="13"/>
  <c r="R56" i="13"/>
  <c r="Q56" i="13"/>
  <c r="M56" i="13"/>
  <c r="L56" i="13"/>
  <c r="H56" i="13"/>
  <c r="AA55" i="13"/>
  <c r="AG55" i="13" s="1"/>
  <c r="Z55" i="13"/>
  <c r="AF55" i="13" s="1"/>
  <c r="X55" i="13"/>
  <c r="AD55" i="13" s="1"/>
  <c r="W55" i="13"/>
  <c r="AC55" i="13" s="1"/>
  <c r="U55" i="13"/>
  <c r="T55" i="13"/>
  <c r="R55" i="13"/>
  <c r="Q55" i="13"/>
  <c r="M55" i="13"/>
  <c r="L55" i="13"/>
  <c r="H55" i="13"/>
  <c r="AA54" i="13"/>
  <c r="AG54" i="13" s="1"/>
  <c r="Z54" i="13"/>
  <c r="AF54" i="13" s="1"/>
  <c r="X54" i="13"/>
  <c r="AD54" i="13" s="1"/>
  <c r="W54" i="13"/>
  <c r="U54" i="13"/>
  <c r="T54" i="13"/>
  <c r="R54" i="13"/>
  <c r="Q54" i="13"/>
  <c r="M54" i="13"/>
  <c r="L54" i="13"/>
  <c r="H54" i="13"/>
  <c r="AA53" i="13"/>
  <c r="AG53" i="13" s="1"/>
  <c r="Z53" i="13"/>
  <c r="AF53" i="13" s="1"/>
  <c r="X53" i="13"/>
  <c r="W53" i="13"/>
  <c r="AC53" i="13" s="1"/>
  <c r="U53" i="13"/>
  <c r="T53" i="13"/>
  <c r="R53" i="13"/>
  <c r="Q53" i="13"/>
  <c r="M53" i="13"/>
  <c r="L53" i="13"/>
  <c r="H53" i="13"/>
  <c r="AA52" i="13"/>
  <c r="AG52" i="13" s="1"/>
  <c r="Z52" i="13"/>
  <c r="AF52" i="13" s="1"/>
  <c r="X52" i="13"/>
  <c r="AD52" i="13" s="1"/>
  <c r="W52" i="13"/>
  <c r="AC52" i="13" s="1"/>
  <c r="U52" i="13"/>
  <c r="T52" i="13"/>
  <c r="R52" i="13"/>
  <c r="Q52" i="13"/>
  <c r="M52" i="13"/>
  <c r="L52" i="13"/>
  <c r="S52" i="13" s="1"/>
  <c r="H52" i="13"/>
  <c r="AA51" i="13"/>
  <c r="AG51" i="13" s="1"/>
  <c r="Z51" i="13"/>
  <c r="AF51" i="13" s="1"/>
  <c r="X51" i="13"/>
  <c r="AD51" i="13" s="1"/>
  <c r="W51" i="13"/>
  <c r="Y51" i="13" s="1"/>
  <c r="U51" i="13"/>
  <c r="T51" i="13"/>
  <c r="R51" i="13"/>
  <c r="Q51" i="13"/>
  <c r="M51" i="13"/>
  <c r="L51" i="13"/>
  <c r="H51" i="13"/>
  <c r="AA50" i="13"/>
  <c r="AG50" i="13" s="1"/>
  <c r="Z50" i="13"/>
  <c r="AF50" i="13" s="1"/>
  <c r="X50" i="13"/>
  <c r="AD50" i="13" s="1"/>
  <c r="W50" i="13"/>
  <c r="AC50" i="13" s="1"/>
  <c r="U50" i="13"/>
  <c r="T50" i="13"/>
  <c r="R50" i="13"/>
  <c r="Q50" i="13"/>
  <c r="M50" i="13"/>
  <c r="L50" i="13"/>
  <c r="S50" i="13" s="1"/>
  <c r="H50" i="13"/>
  <c r="AA49" i="13"/>
  <c r="AG49" i="13" s="1"/>
  <c r="Z49" i="13"/>
  <c r="X49" i="13"/>
  <c r="AD49" i="13" s="1"/>
  <c r="W49" i="13"/>
  <c r="U49" i="13"/>
  <c r="T49" i="13"/>
  <c r="R49" i="13"/>
  <c r="Q49" i="13"/>
  <c r="M49" i="13"/>
  <c r="L49" i="13"/>
  <c r="S49" i="13" s="1"/>
  <c r="V49" i="13" s="1"/>
  <c r="H49" i="13"/>
  <c r="AA48" i="13"/>
  <c r="AG48" i="13" s="1"/>
  <c r="Z48" i="13"/>
  <c r="AF48" i="13" s="1"/>
  <c r="X48" i="13"/>
  <c r="AD48" i="13" s="1"/>
  <c r="W48" i="13"/>
  <c r="U48" i="13"/>
  <c r="T48" i="13"/>
  <c r="R48" i="13"/>
  <c r="Q48" i="13"/>
  <c r="M48" i="13"/>
  <c r="L48" i="13"/>
  <c r="H48" i="13"/>
  <c r="AA47" i="13"/>
  <c r="AG47" i="13" s="1"/>
  <c r="Z47" i="13"/>
  <c r="AF47" i="13" s="1"/>
  <c r="X47" i="13"/>
  <c r="AD47" i="13" s="1"/>
  <c r="W47" i="13"/>
  <c r="U47" i="13"/>
  <c r="T47" i="13"/>
  <c r="R47" i="13"/>
  <c r="Q47" i="13"/>
  <c r="M47" i="13"/>
  <c r="L47" i="13"/>
  <c r="S47" i="13" s="1"/>
  <c r="H47" i="13"/>
  <c r="AA46" i="13"/>
  <c r="AG46" i="13" s="1"/>
  <c r="Z46" i="13"/>
  <c r="X46" i="13"/>
  <c r="AD46" i="13" s="1"/>
  <c r="W46" i="13"/>
  <c r="Y46" i="13" s="1"/>
  <c r="U46" i="13"/>
  <c r="T46" i="13"/>
  <c r="R46" i="13"/>
  <c r="Q46" i="13"/>
  <c r="M46" i="13"/>
  <c r="L46" i="13"/>
  <c r="S46" i="13" s="1"/>
  <c r="V46" i="13" s="1"/>
  <c r="H46" i="13"/>
  <c r="AA45" i="13"/>
  <c r="AG45" i="13" s="1"/>
  <c r="Z45" i="13"/>
  <c r="AF45" i="13" s="1"/>
  <c r="X45" i="13"/>
  <c r="AD45" i="13" s="1"/>
  <c r="W45" i="13"/>
  <c r="AC45" i="13" s="1"/>
  <c r="U45" i="13"/>
  <c r="T45" i="13"/>
  <c r="R45" i="13"/>
  <c r="Q45" i="13"/>
  <c r="M45" i="13"/>
  <c r="L45" i="13"/>
  <c r="H45" i="13"/>
  <c r="AA44" i="13"/>
  <c r="AG44" i="13" s="1"/>
  <c r="Z44" i="13"/>
  <c r="AF44" i="13" s="1"/>
  <c r="X44" i="13"/>
  <c r="AD44" i="13" s="1"/>
  <c r="W44" i="13"/>
  <c r="AC44" i="13" s="1"/>
  <c r="U44" i="13"/>
  <c r="T44" i="13"/>
  <c r="R44" i="13"/>
  <c r="Q44" i="13"/>
  <c r="M44" i="13"/>
  <c r="L44" i="13"/>
  <c r="S44" i="13" s="1"/>
  <c r="V44" i="13" s="1"/>
  <c r="H44" i="13"/>
  <c r="AA43" i="13"/>
  <c r="AG43" i="13" s="1"/>
  <c r="Z43" i="13"/>
  <c r="X43" i="13"/>
  <c r="AD43" i="13" s="1"/>
  <c r="W43" i="13"/>
  <c r="AC43" i="13" s="1"/>
  <c r="U43" i="13"/>
  <c r="T43" i="13"/>
  <c r="R43" i="13"/>
  <c r="Q43" i="13"/>
  <c r="M43" i="13"/>
  <c r="L43" i="13"/>
  <c r="H43" i="13"/>
  <c r="AA42" i="13"/>
  <c r="AG42" i="13" s="1"/>
  <c r="Z42" i="13"/>
  <c r="AF42" i="13" s="1"/>
  <c r="X42" i="13"/>
  <c r="AD42" i="13" s="1"/>
  <c r="W42" i="13"/>
  <c r="U42" i="13"/>
  <c r="T42" i="13"/>
  <c r="R42" i="13"/>
  <c r="Q42" i="13"/>
  <c r="M42" i="13"/>
  <c r="L42" i="13"/>
  <c r="S42" i="13" s="1"/>
  <c r="H42" i="13"/>
  <c r="AA41" i="13"/>
  <c r="AG41" i="13" s="1"/>
  <c r="Z41" i="13"/>
  <c r="AB41" i="13" s="1"/>
  <c r="X41" i="13"/>
  <c r="AD41" i="13" s="1"/>
  <c r="W41" i="13"/>
  <c r="U41" i="13"/>
  <c r="T41" i="13"/>
  <c r="R41" i="13"/>
  <c r="Q41" i="13"/>
  <c r="M41" i="13"/>
  <c r="L41" i="13"/>
  <c r="S41" i="13" s="1"/>
  <c r="H41" i="13"/>
  <c r="AA40" i="13"/>
  <c r="AG40" i="13" s="1"/>
  <c r="Z40" i="13"/>
  <c r="X40" i="13"/>
  <c r="AD40" i="13" s="1"/>
  <c r="W40" i="13"/>
  <c r="U40" i="13"/>
  <c r="T40" i="13"/>
  <c r="R40" i="13"/>
  <c r="Q40" i="13"/>
  <c r="S40" i="13" s="1"/>
  <c r="M40" i="13"/>
  <c r="L40" i="13"/>
  <c r="H40" i="13"/>
  <c r="AA39" i="13"/>
  <c r="AG39" i="13" s="1"/>
  <c r="Z39" i="13"/>
  <c r="X39" i="13"/>
  <c r="AD39" i="13" s="1"/>
  <c r="W39" i="13"/>
  <c r="U39" i="13"/>
  <c r="T39" i="13"/>
  <c r="R39" i="13"/>
  <c r="Q39" i="13"/>
  <c r="M39" i="13"/>
  <c r="L39" i="13"/>
  <c r="S39" i="13" s="1"/>
  <c r="H39" i="13"/>
  <c r="AA38" i="13"/>
  <c r="Z38" i="13"/>
  <c r="AF38" i="13" s="1"/>
  <c r="X38" i="13"/>
  <c r="AD38" i="13" s="1"/>
  <c r="W38" i="13"/>
  <c r="Y38" i="13" s="1"/>
  <c r="U38" i="13"/>
  <c r="T38" i="13"/>
  <c r="R38" i="13"/>
  <c r="Q38" i="13"/>
  <c r="M38" i="13"/>
  <c r="L38" i="13"/>
  <c r="H38" i="13"/>
  <c r="AA37" i="13"/>
  <c r="AG37" i="13" s="1"/>
  <c r="Z37" i="13"/>
  <c r="AF37" i="13" s="1"/>
  <c r="X37" i="13"/>
  <c r="AD37" i="13" s="1"/>
  <c r="W37" i="13"/>
  <c r="Y37" i="13" s="1"/>
  <c r="U37" i="13"/>
  <c r="T37" i="13"/>
  <c r="R37" i="13"/>
  <c r="Q37" i="13"/>
  <c r="M37" i="13"/>
  <c r="L37" i="13"/>
  <c r="S37" i="13" s="1"/>
  <c r="H37" i="13"/>
  <c r="AA36" i="13"/>
  <c r="AG36" i="13" s="1"/>
  <c r="Z36" i="13"/>
  <c r="AF36" i="13" s="1"/>
  <c r="X36" i="13"/>
  <c r="AD36" i="13" s="1"/>
  <c r="W36" i="13"/>
  <c r="AC36" i="13" s="1"/>
  <c r="U36" i="13"/>
  <c r="T36" i="13"/>
  <c r="R36" i="13"/>
  <c r="Q36" i="13"/>
  <c r="M36" i="13"/>
  <c r="L36" i="13"/>
  <c r="H36" i="13"/>
  <c r="AA35" i="13"/>
  <c r="AG35" i="13" s="1"/>
  <c r="Z35" i="13"/>
  <c r="AF35" i="13" s="1"/>
  <c r="X35" i="13"/>
  <c r="AD35" i="13" s="1"/>
  <c r="W35" i="13"/>
  <c r="AC35" i="13" s="1"/>
  <c r="U35" i="13"/>
  <c r="T35" i="13"/>
  <c r="R35" i="13"/>
  <c r="Q35" i="13"/>
  <c r="M35" i="13"/>
  <c r="L35" i="13"/>
  <c r="H35" i="13"/>
  <c r="AA34" i="13"/>
  <c r="AG34" i="13" s="1"/>
  <c r="Z34" i="13"/>
  <c r="AF34" i="13" s="1"/>
  <c r="X34" i="13"/>
  <c r="AD34" i="13" s="1"/>
  <c r="W34" i="13"/>
  <c r="AC34" i="13" s="1"/>
  <c r="U34" i="13"/>
  <c r="T34" i="13"/>
  <c r="R34" i="13"/>
  <c r="Q34" i="13"/>
  <c r="M34" i="13"/>
  <c r="L34" i="13"/>
  <c r="H34" i="13"/>
  <c r="AA33" i="13"/>
  <c r="AG33" i="13" s="1"/>
  <c r="Z33" i="13"/>
  <c r="X33" i="13"/>
  <c r="AD33" i="13" s="1"/>
  <c r="W33" i="13"/>
  <c r="AC33" i="13" s="1"/>
  <c r="U33" i="13"/>
  <c r="T33" i="13"/>
  <c r="R33" i="13"/>
  <c r="Q33" i="13"/>
  <c r="M33" i="13"/>
  <c r="L33" i="13"/>
  <c r="S33" i="13" s="1"/>
  <c r="H33" i="13"/>
  <c r="AA32" i="13"/>
  <c r="AG32" i="13" s="1"/>
  <c r="Z32" i="13"/>
  <c r="X32" i="13"/>
  <c r="AD32" i="13" s="1"/>
  <c r="W32" i="13"/>
  <c r="U32" i="13"/>
  <c r="T32" i="13"/>
  <c r="R32" i="13"/>
  <c r="Q32" i="13"/>
  <c r="M32" i="13"/>
  <c r="L32" i="13"/>
  <c r="H32" i="13"/>
  <c r="AA31" i="13"/>
  <c r="AG31" i="13" s="1"/>
  <c r="Z31" i="13"/>
  <c r="AF31" i="13" s="1"/>
  <c r="X31" i="13"/>
  <c r="AD31" i="13" s="1"/>
  <c r="W31" i="13"/>
  <c r="U31" i="13"/>
  <c r="T31" i="13"/>
  <c r="R31" i="13"/>
  <c r="Q31" i="13"/>
  <c r="M31" i="13"/>
  <c r="L31" i="13"/>
  <c r="H31" i="13"/>
  <c r="AA30" i="13"/>
  <c r="AG30" i="13" s="1"/>
  <c r="Z30" i="13"/>
  <c r="AF30" i="13" s="1"/>
  <c r="X30" i="13"/>
  <c r="AD30" i="13" s="1"/>
  <c r="W30" i="13"/>
  <c r="Y30" i="13" s="1"/>
  <c r="U30" i="13"/>
  <c r="T30" i="13"/>
  <c r="R30" i="13"/>
  <c r="Q30" i="13"/>
  <c r="M30" i="13"/>
  <c r="L30" i="13"/>
  <c r="H30" i="13"/>
  <c r="AA29" i="13"/>
  <c r="AG29" i="13" s="1"/>
  <c r="Z29" i="13"/>
  <c r="AF29" i="13" s="1"/>
  <c r="X29" i="13"/>
  <c r="AD29" i="13" s="1"/>
  <c r="W29" i="13"/>
  <c r="AC29" i="13" s="1"/>
  <c r="U29" i="13"/>
  <c r="T29" i="13"/>
  <c r="R29" i="13"/>
  <c r="Q29" i="13"/>
  <c r="M29" i="13"/>
  <c r="L29" i="13"/>
  <c r="H29" i="13"/>
  <c r="AA28" i="13"/>
  <c r="AG28" i="13" s="1"/>
  <c r="Z28" i="13"/>
  <c r="AF28" i="13" s="1"/>
  <c r="X28" i="13"/>
  <c r="AD28" i="13" s="1"/>
  <c r="W28" i="13"/>
  <c r="AC28" i="13" s="1"/>
  <c r="U28" i="13"/>
  <c r="T28" i="13"/>
  <c r="R28" i="13"/>
  <c r="Q28" i="13"/>
  <c r="M28" i="13"/>
  <c r="L28" i="13"/>
  <c r="H28" i="13"/>
  <c r="AA27" i="13"/>
  <c r="AG27" i="13" s="1"/>
  <c r="Z27" i="13"/>
  <c r="AF27" i="13" s="1"/>
  <c r="X27" i="13"/>
  <c r="AD27" i="13" s="1"/>
  <c r="W27" i="13"/>
  <c r="AC27" i="13" s="1"/>
  <c r="U27" i="13"/>
  <c r="T27" i="13"/>
  <c r="R27" i="13"/>
  <c r="Q27" i="13"/>
  <c r="M27" i="13"/>
  <c r="L27" i="13"/>
  <c r="H27" i="13"/>
  <c r="AA26" i="13"/>
  <c r="AG26" i="13" s="1"/>
  <c r="Z26" i="13"/>
  <c r="X26" i="13"/>
  <c r="AD26" i="13" s="1"/>
  <c r="W26" i="13"/>
  <c r="AC26" i="13" s="1"/>
  <c r="U26" i="13"/>
  <c r="T26" i="13"/>
  <c r="R26" i="13"/>
  <c r="Q26" i="13"/>
  <c r="M26" i="13"/>
  <c r="L26" i="13"/>
  <c r="H26" i="13"/>
  <c r="AA25" i="13"/>
  <c r="AG25" i="13" s="1"/>
  <c r="Z25" i="13"/>
  <c r="X25" i="13"/>
  <c r="AD25" i="13" s="1"/>
  <c r="W25" i="13"/>
  <c r="U25" i="13"/>
  <c r="T25" i="13"/>
  <c r="R25" i="13"/>
  <c r="Q25" i="13"/>
  <c r="M25" i="13"/>
  <c r="L25" i="13"/>
  <c r="H25" i="13"/>
  <c r="AA24" i="13"/>
  <c r="AG24" i="13" s="1"/>
  <c r="Z24" i="13"/>
  <c r="AF24" i="13" s="1"/>
  <c r="X24" i="13"/>
  <c r="AD24" i="13" s="1"/>
  <c r="W24" i="13"/>
  <c r="U24" i="13"/>
  <c r="T24" i="13"/>
  <c r="R24" i="13"/>
  <c r="Q24" i="13"/>
  <c r="M24" i="13"/>
  <c r="L24" i="13"/>
  <c r="H24" i="13"/>
  <c r="AA23" i="13"/>
  <c r="AG23" i="13" s="1"/>
  <c r="Z23" i="13"/>
  <c r="AF23" i="13" s="1"/>
  <c r="X23" i="13"/>
  <c r="AD23" i="13" s="1"/>
  <c r="W23" i="13"/>
  <c r="Y23" i="13" s="1"/>
  <c r="U23" i="13"/>
  <c r="T23" i="13"/>
  <c r="R23" i="13"/>
  <c r="Q23" i="13"/>
  <c r="M23" i="13"/>
  <c r="L23" i="13"/>
  <c r="S23" i="13" s="1"/>
  <c r="H23" i="13"/>
  <c r="AA22" i="13"/>
  <c r="AG22" i="13" s="1"/>
  <c r="Z22" i="13"/>
  <c r="AF22" i="13" s="1"/>
  <c r="X22" i="13"/>
  <c r="AD22" i="13" s="1"/>
  <c r="W22" i="13"/>
  <c r="AC22" i="13" s="1"/>
  <c r="U22" i="13"/>
  <c r="T22" i="13"/>
  <c r="R22" i="13"/>
  <c r="Q22" i="13"/>
  <c r="M22" i="13"/>
  <c r="L22" i="13"/>
  <c r="S22" i="13" s="1"/>
  <c r="H22" i="13"/>
  <c r="AA21" i="13"/>
  <c r="AG21" i="13" s="1"/>
  <c r="Z21" i="13"/>
  <c r="X21" i="13"/>
  <c r="AD21" i="13" s="1"/>
  <c r="W21" i="13"/>
  <c r="AC21" i="13" s="1"/>
  <c r="U21" i="13"/>
  <c r="T21" i="13"/>
  <c r="R21" i="13"/>
  <c r="Q21" i="13"/>
  <c r="M21" i="13"/>
  <c r="L21" i="13"/>
  <c r="H21" i="13"/>
  <c r="AA20" i="13"/>
  <c r="AG20" i="13" s="1"/>
  <c r="Z20" i="13"/>
  <c r="X20" i="13"/>
  <c r="AD20" i="13" s="1"/>
  <c r="W20" i="13"/>
  <c r="AC20" i="13" s="1"/>
  <c r="U20" i="13"/>
  <c r="T20" i="13"/>
  <c r="R20" i="13"/>
  <c r="Q20" i="13"/>
  <c r="M20" i="13"/>
  <c r="L20" i="13"/>
  <c r="H20" i="13"/>
  <c r="AA19" i="13"/>
  <c r="AG19" i="13" s="1"/>
  <c r="Z19" i="13"/>
  <c r="X19" i="13"/>
  <c r="AD19" i="13" s="1"/>
  <c r="W19" i="13"/>
  <c r="U19" i="13"/>
  <c r="T19" i="13"/>
  <c r="R19" i="13"/>
  <c r="Q19" i="13"/>
  <c r="M19" i="13"/>
  <c r="L19" i="13"/>
  <c r="H19" i="13"/>
  <c r="AA18" i="13"/>
  <c r="AG18" i="13" s="1"/>
  <c r="Z18" i="13"/>
  <c r="AF18" i="13" s="1"/>
  <c r="X18" i="13"/>
  <c r="AD18" i="13" s="1"/>
  <c r="W18" i="13"/>
  <c r="U18" i="13"/>
  <c r="T18" i="13"/>
  <c r="R18" i="13"/>
  <c r="Q18" i="13"/>
  <c r="M18" i="13"/>
  <c r="L18" i="13"/>
  <c r="H18" i="13"/>
  <c r="AA17" i="13"/>
  <c r="AG17" i="13" s="1"/>
  <c r="Z17" i="13"/>
  <c r="X17" i="13"/>
  <c r="AD17" i="13" s="1"/>
  <c r="W17" i="13"/>
  <c r="U17" i="13"/>
  <c r="T17" i="13"/>
  <c r="R17" i="13"/>
  <c r="Q17" i="13"/>
  <c r="M17" i="13"/>
  <c r="L17" i="13"/>
  <c r="S17" i="13" s="1"/>
  <c r="H17" i="13"/>
  <c r="AA16" i="13"/>
  <c r="AG16" i="13" s="1"/>
  <c r="Z16" i="13"/>
  <c r="AF16" i="13" s="1"/>
  <c r="X16" i="13"/>
  <c r="AD16" i="13" s="1"/>
  <c r="W16" i="13"/>
  <c r="Y16" i="13" s="1"/>
  <c r="U16" i="13"/>
  <c r="T16" i="13"/>
  <c r="R16" i="13"/>
  <c r="Q16" i="13"/>
  <c r="M16" i="13"/>
  <c r="L16" i="13"/>
  <c r="H16" i="13"/>
  <c r="AA15" i="13"/>
  <c r="AG15" i="13" s="1"/>
  <c r="Z15" i="13"/>
  <c r="AF15" i="13" s="1"/>
  <c r="X15" i="13"/>
  <c r="AD15" i="13" s="1"/>
  <c r="W15" i="13"/>
  <c r="AC15" i="13" s="1"/>
  <c r="U15" i="13"/>
  <c r="T15" i="13"/>
  <c r="R15" i="13"/>
  <c r="Q15" i="13"/>
  <c r="M15" i="13"/>
  <c r="L15" i="13"/>
  <c r="H15" i="13"/>
  <c r="AA14" i="13"/>
  <c r="AG14" i="13" s="1"/>
  <c r="Z14" i="13"/>
  <c r="X14" i="13"/>
  <c r="AD14" i="13" s="1"/>
  <c r="W14" i="13"/>
  <c r="AC14" i="13" s="1"/>
  <c r="U14" i="13"/>
  <c r="T14" i="13"/>
  <c r="R14" i="13"/>
  <c r="Q14" i="13"/>
  <c r="M14" i="13"/>
  <c r="L14" i="13"/>
  <c r="H14" i="13"/>
  <c r="AA13" i="13"/>
  <c r="AG13" i="13" s="1"/>
  <c r="Z13" i="13"/>
  <c r="AB13" i="13" s="1"/>
  <c r="AH13" i="13" s="1"/>
  <c r="X13" i="13"/>
  <c r="W13" i="13"/>
  <c r="AC13" i="13" s="1"/>
  <c r="U13" i="13"/>
  <c r="T13" i="13"/>
  <c r="R13" i="13"/>
  <c r="Q13" i="13"/>
  <c r="M13" i="13"/>
  <c r="L13" i="13"/>
  <c r="H13" i="13"/>
  <c r="AG12" i="13"/>
  <c r="AA12" i="13"/>
  <c r="Z12" i="13"/>
  <c r="X12" i="13"/>
  <c r="AD12" i="13" s="1"/>
  <c r="W12" i="13"/>
  <c r="U12" i="13"/>
  <c r="T12" i="13"/>
  <c r="R12" i="13"/>
  <c r="Q12" i="13"/>
  <c r="M12" i="13"/>
  <c r="L12" i="13"/>
  <c r="H12" i="13"/>
  <c r="AA11" i="13"/>
  <c r="AG11" i="13" s="1"/>
  <c r="Z11" i="13"/>
  <c r="X11" i="13"/>
  <c r="AD11" i="13" s="1"/>
  <c r="W11" i="13"/>
  <c r="U11" i="13"/>
  <c r="T11" i="13"/>
  <c r="R11" i="13"/>
  <c r="Q11" i="13"/>
  <c r="M11" i="13"/>
  <c r="L11" i="13"/>
  <c r="H11" i="13"/>
  <c r="AA10" i="13"/>
  <c r="AG10" i="13" s="1"/>
  <c r="Z10" i="13"/>
  <c r="AB10" i="13" s="1"/>
  <c r="X10" i="13"/>
  <c r="AD10" i="13" s="1"/>
  <c r="W10" i="13"/>
  <c r="U10" i="13"/>
  <c r="T10" i="13"/>
  <c r="R10" i="13"/>
  <c r="Q10" i="13"/>
  <c r="M10" i="13"/>
  <c r="L10" i="13"/>
  <c r="H10" i="13"/>
  <c r="AA9" i="13"/>
  <c r="AG9" i="13" s="1"/>
  <c r="Z9" i="13"/>
  <c r="X9" i="13"/>
  <c r="AD9" i="13" s="1"/>
  <c r="W9" i="13"/>
  <c r="U9" i="13"/>
  <c r="T9" i="13"/>
  <c r="R9" i="13"/>
  <c r="Q9" i="13"/>
  <c r="M9" i="13"/>
  <c r="L9" i="13"/>
  <c r="H9" i="13"/>
  <c r="AA8" i="13"/>
  <c r="AG8" i="13" s="1"/>
  <c r="Z8" i="13"/>
  <c r="AF8" i="13" s="1"/>
  <c r="X8" i="13"/>
  <c r="AD8" i="13" s="1"/>
  <c r="W8" i="13"/>
  <c r="Y8" i="13" s="1"/>
  <c r="U8" i="13"/>
  <c r="T8" i="13"/>
  <c r="R8" i="13"/>
  <c r="Q8" i="13"/>
  <c r="M8" i="13"/>
  <c r="L8" i="13"/>
  <c r="H8" i="13"/>
  <c r="AA7" i="13"/>
  <c r="AG7" i="13" s="1"/>
  <c r="Z7" i="13"/>
  <c r="AB7" i="13" s="1"/>
  <c r="X7" i="13"/>
  <c r="AD7" i="13" s="1"/>
  <c r="W7" i="13"/>
  <c r="AC7" i="13" s="1"/>
  <c r="U7" i="13"/>
  <c r="T7" i="13"/>
  <c r="R7" i="13"/>
  <c r="Q7" i="13"/>
  <c r="M7" i="13"/>
  <c r="L7" i="13"/>
  <c r="H7" i="13"/>
  <c r="AA6" i="13"/>
  <c r="AG6" i="13" s="1"/>
  <c r="Z6" i="13"/>
  <c r="AF6" i="13" s="1"/>
  <c r="X6" i="13"/>
  <c r="AD6" i="13" s="1"/>
  <c r="W6" i="13"/>
  <c r="AC6" i="13" s="1"/>
  <c r="U6" i="13"/>
  <c r="T6" i="13"/>
  <c r="R6" i="13"/>
  <c r="Q6" i="13"/>
  <c r="M6" i="13"/>
  <c r="L6" i="13"/>
  <c r="H6" i="13"/>
  <c r="AA5" i="13"/>
  <c r="AG5" i="13" s="1"/>
  <c r="Z5" i="13"/>
  <c r="AF5" i="13" s="1"/>
  <c r="X5" i="13"/>
  <c r="AD5" i="13" s="1"/>
  <c r="W5" i="13"/>
  <c r="AC5" i="13" s="1"/>
  <c r="U5" i="13"/>
  <c r="T5" i="13"/>
  <c r="R5" i="13"/>
  <c r="Q5" i="13"/>
  <c r="M5" i="13"/>
  <c r="L5" i="13"/>
  <c r="H5" i="13"/>
  <c r="AA4" i="13"/>
  <c r="AG4" i="13" s="1"/>
  <c r="Z4" i="13"/>
  <c r="X4" i="13"/>
  <c r="AD4" i="13" s="1"/>
  <c r="W4" i="13"/>
  <c r="AC4" i="13" s="1"/>
  <c r="U4" i="13"/>
  <c r="T4" i="13"/>
  <c r="R4" i="13"/>
  <c r="Q4" i="13"/>
  <c r="M4" i="13"/>
  <c r="L4" i="13"/>
  <c r="S4" i="13" s="1"/>
  <c r="H4" i="13"/>
  <c r="S18" i="14" l="1"/>
  <c r="V10" i="14"/>
  <c r="AB16" i="14"/>
  <c r="AC21" i="14"/>
  <c r="AC5" i="14"/>
  <c r="AH22" i="14"/>
  <c r="S8" i="14"/>
  <c r="V8" i="14" s="1"/>
  <c r="S19" i="14"/>
  <c r="V19" i="14" s="1"/>
  <c r="Y10" i="14"/>
  <c r="AE10" i="14" s="1"/>
  <c r="AB12" i="14"/>
  <c r="AH12" i="14" s="1"/>
  <c r="S17" i="14"/>
  <c r="V17" i="14" s="1"/>
  <c r="Y22" i="14"/>
  <c r="AE22" i="14" s="1"/>
  <c r="AB7" i="14"/>
  <c r="AH7" i="14" s="1"/>
  <c r="AB20" i="14"/>
  <c r="AH20" i="14" s="1"/>
  <c r="S9" i="14"/>
  <c r="V9" i="14" s="1"/>
  <c r="AE17" i="14"/>
  <c r="S23" i="14"/>
  <c r="V23" i="14" s="1"/>
  <c r="S25" i="14"/>
  <c r="V25" i="14" s="1"/>
  <c r="AB17" i="14"/>
  <c r="AH17" i="14" s="1"/>
  <c r="AB5" i="14"/>
  <c r="AH5" i="14" s="1"/>
  <c r="Y7" i="14"/>
  <c r="AE7" i="14" s="1"/>
  <c r="AC17" i="14"/>
  <c r="Y24" i="14"/>
  <c r="AE24" i="14" s="1"/>
  <c r="AB24" i="14"/>
  <c r="AH24" i="14" s="1"/>
  <c r="AD24" i="14"/>
  <c r="S11" i="14"/>
  <c r="V11" i="14" s="1"/>
  <c r="V18" i="14"/>
  <c r="Y6" i="14"/>
  <c r="AE6" i="14" s="1"/>
  <c r="AB15" i="14"/>
  <c r="AH15" i="14" s="1"/>
  <c r="AE5" i="14"/>
  <c r="Y8" i="14"/>
  <c r="AE8" i="14" s="1"/>
  <c r="Y16" i="14"/>
  <c r="AE16" i="14" s="1"/>
  <c r="Y4" i="14"/>
  <c r="AE4" i="14" s="1"/>
  <c r="AB4" i="14"/>
  <c r="AH4" i="14" s="1"/>
  <c r="V16" i="14"/>
  <c r="AH16" i="14"/>
  <c r="V22" i="14"/>
  <c r="S7" i="14"/>
  <c r="V7" i="14" s="1"/>
  <c r="S21" i="14"/>
  <c r="V21" i="14" s="1"/>
  <c r="S4" i="14"/>
  <c r="V4" i="14" s="1"/>
  <c r="Y12" i="14"/>
  <c r="AE12" i="14" s="1"/>
  <c r="AF21" i="14"/>
  <c r="Y23" i="14"/>
  <c r="AE23" i="14" s="1"/>
  <c r="S12" i="14"/>
  <c r="V12" i="14" s="1"/>
  <c r="Y27" i="14"/>
  <c r="AE27" i="14" s="1"/>
  <c r="S5" i="14"/>
  <c r="V5" i="14" s="1"/>
  <c r="Y25" i="14"/>
  <c r="AE25" i="14" s="1"/>
  <c r="Y20" i="14"/>
  <c r="AE20" i="14" s="1"/>
  <c r="AB13" i="14"/>
  <c r="AH13" i="14" s="1"/>
  <c r="AB23" i="14"/>
  <c r="AH23" i="14" s="1"/>
  <c r="Y14" i="14"/>
  <c r="AE14" i="14" s="1"/>
  <c r="AF14" i="14"/>
  <c r="AB14" i="14"/>
  <c r="AH14" i="14" s="1"/>
  <c r="Y18" i="14"/>
  <c r="AE18" i="14" s="1"/>
  <c r="Y11" i="14"/>
  <c r="AE11" i="14" s="1"/>
  <c r="AB6" i="14"/>
  <c r="AH6" i="14" s="1"/>
  <c r="Y19" i="14"/>
  <c r="AE19" i="14" s="1"/>
  <c r="AB9" i="14"/>
  <c r="AH9" i="14" s="1"/>
  <c r="AB19" i="14"/>
  <c r="AH19" i="14" s="1"/>
  <c r="V13" i="14"/>
  <c r="V20" i="14"/>
  <c r="AF11" i="14"/>
  <c r="AB11" i="14"/>
  <c r="AH11" i="14" s="1"/>
  <c r="AD13" i="14"/>
  <c r="Y13" i="14"/>
  <c r="AE13" i="14" s="1"/>
  <c r="V26" i="14"/>
  <c r="AB18" i="14"/>
  <c r="AH18" i="14" s="1"/>
  <c r="AF16" i="14"/>
  <c r="Y9" i="14"/>
  <c r="AE9" i="14" s="1"/>
  <c r="Y15" i="14"/>
  <c r="AE15" i="14" s="1"/>
  <c r="AD15" i="14"/>
  <c r="V6" i="14"/>
  <c r="V15" i="14"/>
  <c r="V14" i="14"/>
  <c r="AH25" i="14"/>
  <c r="Y26" i="14"/>
  <c r="AE26" i="14" s="1"/>
  <c r="AB8" i="14"/>
  <c r="AH8" i="14" s="1"/>
  <c r="AB26" i="14"/>
  <c r="AH26" i="14" s="1"/>
  <c r="AB10" i="14"/>
  <c r="AH10" i="14" s="1"/>
  <c r="AF25" i="14"/>
  <c r="V27" i="14"/>
  <c r="AC10" i="14"/>
  <c r="V24" i="14"/>
  <c r="AB27" i="14"/>
  <c r="AH27" i="14" s="1"/>
  <c r="AF12" i="14"/>
  <c r="AF22" i="14"/>
  <c r="S5" i="13"/>
  <c r="S55" i="13"/>
  <c r="V55" i="13" s="1"/>
  <c r="Y61" i="13"/>
  <c r="S79" i="13"/>
  <c r="AB87" i="13"/>
  <c r="S131" i="13"/>
  <c r="V131" i="13" s="1"/>
  <c r="S27" i="13"/>
  <c r="V27" i="13" s="1"/>
  <c r="S64" i="13"/>
  <c r="V64" i="13" s="1"/>
  <c r="S88" i="13"/>
  <c r="AB9" i="13"/>
  <c r="S14" i="13"/>
  <c r="V14" i="13" s="1"/>
  <c r="S51" i="13"/>
  <c r="V51" i="13" s="1"/>
  <c r="S75" i="13"/>
  <c r="V75" i="13" s="1"/>
  <c r="AB83" i="13"/>
  <c r="AH83" i="13" s="1"/>
  <c r="S6" i="13"/>
  <c r="Y47" i="13"/>
  <c r="Y71" i="13"/>
  <c r="AB97" i="13"/>
  <c r="V39" i="13"/>
  <c r="AE56" i="13"/>
  <c r="Y80" i="13"/>
  <c r="AE80" i="13" s="1"/>
  <c r="V52" i="13"/>
  <c r="S11" i="13"/>
  <c r="V11" i="13" s="1"/>
  <c r="S24" i="13"/>
  <c r="V24" i="13" s="1"/>
  <c r="V76" i="13"/>
  <c r="Y17" i="13"/>
  <c r="AE17" i="13" s="1"/>
  <c r="S35" i="13"/>
  <c r="V35" i="13" s="1"/>
  <c r="S48" i="13"/>
  <c r="AB80" i="13"/>
  <c r="AH80" i="13" s="1"/>
  <c r="S124" i="13"/>
  <c r="AE127" i="13"/>
  <c r="S53" i="13"/>
  <c r="AC84" i="13"/>
  <c r="S10" i="13"/>
  <c r="S25" i="13"/>
  <c r="AB127" i="13"/>
  <c r="AH127" i="13" s="1"/>
  <c r="S87" i="13"/>
  <c r="V87" i="13" s="1"/>
  <c r="AE121" i="13"/>
  <c r="Y126" i="13"/>
  <c r="AE126" i="13" s="1"/>
  <c r="AC69" i="13"/>
  <c r="AE129" i="13"/>
  <c r="S34" i="13"/>
  <c r="V34" i="13" s="1"/>
  <c r="S21" i="13"/>
  <c r="AH41" i="13"/>
  <c r="AE131" i="13"/>
  <c r="AH131" i="13"/>
  <c r="AB14" i="13"/>
  <c r="AH14" i="13" s="1"/>
  <c r="AH7" i="13"/>
  <c r="AC37" i="13"/>
  <c r="AE114" i="13"/>
  <c r="AE23" i="13"/>
  <c r="AC79" i="13"/>
  <c r="S28" i="13"/>
  <c r="V28" i="13" s="1"/>
  <c r="S58" i="13"/>
  <c r="V58" i="13" s="1"/>
  <c r="AH9" i="13"/>
  <c r="AH78" i="13"/>
  <c r="S56" i="13"/>
  <c r="S109" i="13"/>
  <c r="V109" i="13" s="1"/>
  <c r="S122" i="13"/>
  <c r="V122" i="13" s="1"/>
  <c r="S101" i="13"/>
  <c r="V101" i="13" s="1"/>
  <c r="AC131" i="13"/>
  <c r="S111" i="13"/>
  <c r="Y9" i="13"/>
  <c r="AE9" i="13" s="1"/>
  <c r="AB21" i="13"/>
  <c r="AH21" i="13" s="1"/>
  <c r="AC23" i="13"/>
  <c r="S36" i="13"/>
  <c r="V36" i="13" s="1"/>
  <c r="S38" i="13"/>
  <c r="V38" i="13" s="1"/>
  <c r="V50" i="13"/>
  <c r="AB70" i="13"/>
  <c r="AH70" i="13" s="1"/>
  <c r="AB72" i="13"/>
  <c r="AH72" i="13" s="1"/>
  <c r="S83" i="13"/>
  <c r="V83" i="13" s="1"/>
  <c r="Y97" i="13"/>
  <c r="AE97" i="13" s="1"/>
  <c r="AB125" i="13"/>
  <c r="AH125" i="13" s="1"/>
  <c r="AB17" i="13"/>
  <c r="AH17" i="13" s="1"/>
  <c r="S30" i="13"/>
  <c r="V30" i="13" s="1"/>
  <c r="AB64" i="13"/>
  <c r="AH64" i="13" s="1"/>
  <c r="S69" i="13"/>
  <c r="V69" i="13" s="1"/>
  <c r="S73" i="13"/>
  <c r="V73" i="13" s="1"/>
  <c r="AF97" i="13"/>
  <c r="S61" i="13"/>
  <c r="V61" i="13" s="1"/>
  <c r="S96" i="13"/>
  <c r="V96" i="13" s="1"/>
  <c r="Y132" i="13"/>
  <c r="AE132" i="13" s="1"/>
  <c r="AH134" i="13"/>
  <c r="AE30" i="13"/>
  <c r="AB38" i="13"/>
  <c r="AH38" i="13" s="1"/>
  <c r="AE69" i="13"/>
  <c r="S90" i="13"/>
  <c r="AC38" i="13"/>
  <c r="S43" i="13"/>
  <c r="V43" i="13" s="1"/>
  <c r="AB81" i="13"/>
  <c r="AH81" i="13" s="1"/>
  <c r="S98" i="13"/>
  <c r="V98" i="13" s="1"/>
  <c r="S100" i="13"/>
  <c r="V100" i="13" s="1"/>
  <c r="S102" i="13"/>
  <c r="V102" i="13" s="1"/>
  <c r="Y122" i="13"/>
  <c r="AE122" i="13" s="1"/>
  <c r="AB58" i="13"/>
  <c r="AH58" i="13" s="1"/>
  <c r="V4" i="13"/>
  <c r="Y53" i="13"/>
  <c r="AE53" i="13" s="1"/>
  <c r="S29" i="13"/>
  <c r="V29" i="13" s="1"/>
  <c r="S74" i="13"/>
  <c r="V74" i="13" s="1"/>
  <c r="S82" i="13"/>
  <c r="V82" i="13" s="1"/>
  <c r="Y94" i="13"/>
  <c r="AE94" i="13" s="1"/>
  <c r="Y112" i="13"/>
  <c r="AE112" i="13" s="1"/>
  <c r="AC56" i="13"/>
  <c r="AE107" i="13"/>
  <c r="AF9" i="13"/>
  <c r="AC46" i="13"/>
  <c r="AC91" i="13"/>
  <c r="Y124" i="13"/>
  <c r="AE124" i="13" s="1"/>
  <c r="AE104" i="13"/>
  <c r="V41" i="13"/>
  <c r="AC51" i="13"/>
  <c r="AD53" i="13"/>
  <c r="AC59" i="13"/>
  <c r="AC61" i="13"/>
  <c r="S68" i="13"/>
  <c r="V68" i="13" s="1"/>
  <c r="V84" i="13"/>
  <c r="Y100" i="13"/>
  <c r="AE100" i="13" s="1"/>
  <c r="Y102" i="13"/>
  <c r="AE102" i="13" s="1"/>
  <c r="AC114" i="13"/>
  <c r="AB123" i="13"/>
  <c r="AH123" i="13" s="1"/>
  <c r="AF7" i="13"/>
  <c r="AE61" i="13"/>
  <c r="AE120" i="13"/>
  <c r="AH65" i="13"/>
  <c r="S7" i="13"/>
  <c r="V7" i="13" s="1"/>
  <c r="AF10" i="13"/>
  <c r="AF14" i="13"/>
  <c r="AE84" i="13"/>
  <c r="AC108" i="13"/>
  <c r="AC74" i="13"/>
  <c r="V103" i="13"/>
  <c r="AH107" i="13"/>
  <c r="AE134" i="13"/>
  <c r="S9" i="13"/>
  <c r="V9" i="13" s="1"/>
  <c r="V21" i="13"/>
  <c r="AC47" i="13"/>
  <c r="S66" i="13"/>
  <c r="V66" i="13" s="1"/>
  <c r="S97" i="13"/>
  <c r="AC104" i="13"/>
  <c r="AB116" i="13"/>
  <c r="AH116" i="13" s="1"/>
  <c r="AB18" i="13"/>
  <c r="AH18" i="13" s="1"/>
  <c r="AB31" i="13"/>
  <c r="AH31" i="13" s="1"/>
  <c r="Y99" i="13"/>
  <c r="AE99" i="13" s="1"/>
  <c r="AB110" i="13"/>
  <c r="AH110" i="13" s="1"/>
  <c r="AB114" i="13"/>
  <c r="AH114" i="13" s="1"/>
  <c r="AF92" i="13"/>
  <c r="AB15" i="13"/>
  <c r="AH15" i="13" s="1"/>
  <c r="V6" i="13"/>
  <c r="V65" i="13"/>
  <c r="Y27" i="13"/>
  <c r="AE27" i="13" s="1"/>
  <c r="Y29" i="13"/>
  <c r="AE29" i="13" s="1"/>
  <c r="AB51" i="13"/>
  <c r="AH51" i="13" s="1"/>
  <c r="Y13" i="13"/>
  <c r="AE13" i="13" s="1"/>
  <c r="AB44" i="13"/>
  <c r="AH44" i="13" s="1"/>
  <c r="AF72" i="13"/>
  <c r="Y89" i="13"/>
  <c r="AE89" i="13" s="1"/>
  <c r="S26" i="13"/>
  <c r="V26" i="13" s="1"/>
  <c r="S32" i="13"/>
  <c r="V32" i="13" s="1"/>
  <c r="S54" i="13"/>
  <c r="V54" i="13" s="1"/>
  <c r="S80" i="13"/>
  <c r="V80" i="13" s="1"/>
  <c r="AC99" i="13"/>
  <c r="S123" i="13"/>
  <c r="V123" i="13" s="1"/>
  <c r="S125" i="13"/>
  <c r="V125" i="13" s="1"/>
  <c r="S127" i="13"/>
  <c r="V127" i="13" s="1"/>
  <c r="S8" i="13"/>
  <c r="V8" i="13" s="1"/>
  <c r="AC9" i="13"/>
  <c r="S19" i="13"/>
  <c r="V19" i="13" s="1"/>
  <c r="AB27" i="13"/>
  <c r="AH27" i="13" s="1"/>
  <c r="AB37" i="13"/>
  <c r="AH37" i="13" s="1"/>
  <c r="Y96" i="13"/>
  <c r="AE96" i="13" s="1"/>
  <c r="S105" i="13"/>
  <c r="V105" i="13" s="1"/>
  <c r="AF114" i="13"/>
  <c r="AF108" i="13"/>
  <c r="V111" i="13"/>
  <c r="AB54" i="13"/>
  <c r="AH54" i="13" s="1"/>
  <c r="S118" i="13"/>
  <c r="V118" i="13" s="1"/>
  <c r="AC121" i="13"/>
  <c r="AC129" i="13"/>
  <c r="AF17" i="13"/>
  <c r="AB36" i="13"/>
  <c r="AH36" i="13" s="1"/>
  <c r="Y57" i="13"/>
  <c r="AE57" i="13" s="1"/>
  <c r="AC71" i="13"/>
  <c r="AH10" i="13"/>
  <c r="S20" i="13"/>
  <c r="V20" i="13" s="1"/>
  <c r="AF21" i="13"/>
  <c r="AB57" i="13"/>
  <c r="AH57" i="13" s="1"/>
  <c r="V62" i="13"/>
  <c r="Y70" i="13"/>
  <c r="AE70" i="13" s="1"/>
  <c r="S72" i="13"/>
  <c r="V72" i="13" s="1"/>
  <c r="V77" i="13"/>
  <c r="AC82" i="13"/>
  <c r="Y85" i="13"/>
  <c r="AE85" i="13" s="1"/>
  <c r="AB100" i="13"/>
  <c r="AH100" i="13" s="1"/>
  <c r="S112" i="13"/>
  <c r="V112" i="13" s="1"/>
  <c r="AB115" i="13"/>
  <c r="AH115" i="13" s="1"/>
  <c r="AB76" i="13"/>
  <c r="AH76" i="13" s="1"/>
  <c r="S45" i="13"/>
  <c r="AF131" i="13"/>
  <c r="AC17" i="13"/>
  <c r="AB63" i="13"/>
  <c r="AH63" i="13" s="1"/>
  <c r="V130" i="13"/>
  <c r="AB8" i="13"/>
  <c r="AH8" i="13" s="1"/>
  <c r="V22" i="13"/>
  <c r="AE38" i="13"/>
  <c r="AE46" i="13"/>
  <c r="Y52" i="13"/>
  <c r="AE52" i="13" s="1"/>
  <c r="V60" i="13"/>
  <c r="AE91" i="13"/>
  <c r="S104" i="13"/>
  <c r="V104" i="13" s="1"/>
  <c r="AC107" i="13"/>
  <c r="AB111" i="13"/>
  <c r="AH111" i="13" s="1"/>
  <c r="AC127" i="13"/>
  <c r="Y130" i="13"/>
  <c r="AE130" i="13" s="1"/>
  <c r="AC8" i="13"/>
  <c r="AF64" i="13"/>
  <c r="Y66" i="13"/>
  <c r="AE66" i="13" s="1"/>
  <c r="AH88" i="13"/>
  <c r="V93" i="13"/>
  <c r="V95" i="13"/>
  <c r="AC105" i="13"/>
  <c r="S18" i="13"/>
  <c r="V18" i="13" s="1"/>
  <c r="Y24" i="13"/>
  <c r="AE24" i="13" s="1"/>
  <c r="AB30" i="13"/>
  <c r="AH30" i="13" s="1"/>
  <c r="S31" i="13"/>
  <c r="V31" i="13" s="1"/>
  <c r="AB52" i="13"/>
  <c r="AH52" i="13" s="1"/>
  <c r="AB75" i="13"/>
  <c r="AH75" i="13" s="1"/>
  <c r="S99" i="13"/>
  <c r="V99" i="13" s="1"/>
  <c r="S106" i="13"/>
  <c r="V106" i="13" s="1"/>
  <c r="AF107" i="13"/>
  <c r="AB120" i="13"/>
  <c r="AH120" i="13" s="1"/>
  <c r="S126" i="13"/>
  <c r="V126" i="13" s="1"/>
  <c r="AF127" i="13"/>
  <c r="AE16" i="13"/>
  <c r="AC120" i="13"/>
  <c r="Y15" i="13"/>
  <c r="AB23" i="13"/>
  <c r="AH23" i="13" s="1"/>
  <c r="AB96" i="13"/>
  <c r="AH96" i="13" s="1"/>
  <c r="S12" i="13"/>
  <c r="V12" i="13" s="1"/>
  <c r="Y43" i="13"/>
  <c r="AE43" i="13" s="1"/>
  <c r="V90" i="13"/>
  <c r="AB129" i="13"/>
  <c r="AH129" i="13" s="1"/>
  <c r="AF78" i="13"/>
  <c r="AF80" i="13"/>
  <c r="AF125" i="13"/>
  <c r="AH93" i="13"/>
  <c r="AB24" i="13"/>
  <c r="AH24" i="13" s="1"/>
  <c r="AG38" i="13"/>
  <c r="AB85" i="13"/>
  <c r="AH85" i="13" s="1"/>
  <c r="S89" i="13"/>
  <c r="V89" i="13" s="1"/>
  <c r="AH108" i="13"/>
  <c r="S119" i="13"/>
  <c r="V119" i="13" s="1"/>
  <c r="V124" i="13"/>
  <c r="V128" i="13"/>
  <c r="AB61" i="13"/>
  <c r="AH61" i="13" s="1"/>
  <c r="Y86" i="13"/>
  <c r="AE86" i="13" s="1"/>
  <c r="AF101" i="13"/>
  <c r="AC86" i="13"/>
  <c r="S132" i="13"/>
  <c r="V132" i="13" s="1"/>
  <c r="Y62" i="13"/>
  <c r="AE62" i="13" s="1"/>
  <c r="S13" i="13"/>
  <c r="V13" i="13" s="1"/>
  <c r="AC24" i="13"/>
  <c r="V25" i="13"/>
  <c r="AE51" i="13"/>
  <c r="S67" i="13"/>
  <c r="V67" i="13" s="1"/>
  <c r="AF77" i="13"/>
  <c r="S92" i="13"/>
  <c r="V92" i="13" s="1"/>
  <c r="S94" i="13"/>
  <c r="V94" i="13" s="1"/>
  <c r="S108" i="13"/>
  <c r="V108" i="13" s="1"/>
  <c r="S116" i="13"/>
  <c r="V116" i="13" s="1"/>
  <c r="Y109" i="13"/>
  <c r="AE109" i="13" s="1"/>
  <c r="AF41" i="13"/>
  <c r="V5" i="13"/>
  <c r="AC30" i="13"/>
  <c r="V59" i="13"/>
  <c r="AE47" i="13"/>
  <c r="S15" i="13"/>
  <c r="V15" i="13" s="1"/>
  <c r="AC16" i="13"/>
  <c r="Y55" i="13"/>
  <c r="AE55" i="13" s="1"/>
  <c r="AB62" i="13"/>
  <c r="AH62" i="13" s="1"/>
  <c r="Y72" i="13"/>
  <c r="AE72" i="13" s="1"/>
  <c r="V81" i="13"/>
  <c r="S117" i="13"/>
  <c r="V117" i="13" s="1"/>
  <c r="AB122" i="13"/>
  <c r="AH122" i="13" s="1"/>
  <c r="V40" i="13"/>
  <c r="AB56" i="13"/>
  <c r="AH56" i="13" s="1"/>
  <c r="Y113" i="13"/>
  <c r="AE113" i="13" s="1"/>
  <c r="AC113" i="13"/>
  <c r="AE37" i="13"/>
  <c r="Y118" i="13"/>
  <c r="AE118" i="13" s="1"/>
  <c r="AH77" i="13"/>
  <c r="AC72" i="13"/>
  <c r="AH92" i="13"/>
  <c r="AB104" i="13"/>
  <c r="AH104" i="13" s="1"/>
  <c r="AD13" i="13"/>
  <c r="Y20" i="13"/>
  <c r="AE20" i="13" s="1"/>
  <c r="Y34" i="13"/>
  <c r="AE34" i="13" s="1"/>
  <c r="S71" i="13"/>
  <c r="V71" i="13" s="1"/>
  <c r="Y106" i="13"/>
  <c r="AE106" i="13" s="1"/>
  <c r="AC106" i="13"/>
  <c r="AF13" i="13"/>
  <c r="AF20" i="13"/>
  <c r="AB20" i="13"/>
  <c r="AH20" i="13" s="1"/>
  <c r="AB69" i="13"/>
  <c r="AH69" i="13" s="1"/>
  <c r="AF79" i="13"/>
  <c r="AB79" i="13"/>
  <c r="AH79" i="13" s="1"/>
  <c r="AH87" i="13"/>
  <c r="V88" i="13"/>
  <c r="Y5" i="13"/>
  <c r="AE5" i="13" s="1"/>
  <c r="AE15" i="13"/>
  <c r="AF43" i="13"/>
  <c r="AB43" i="13"/>
  <c r="AH43" i="13" s="1"/>
  <c r="Y50" i="13"/>
  <c r="AE50" i="13" s="1"/>
  <c r="Y111" i="13"/>
  <c r="AE111" i="13" s="1"/>
  <c r="AB95" i="13"/>
  <c r="AH95" i="13" s="1"/>
  <c r="AF95" i="13"/>
  <c r="AC88" i="13"/>
  <c r="Y88" i="13"/>
  <c r="AE88" i="13" s="1"/>
  <c r="AC25" i="13"/>
  <c r="Y25" i="13"/>
  <c r="AE25" i="13" s="1"/>
  <c r="AF25" i="13"/>
  <c r="AB25" i="13"/>
  <c r="AH25" i="13" s="1"/>
  <c r="AB53" i="13"/>
  <c r="AH53" i="13" s="1"/>
  <c r="AC60" i="13"/>
  <c r="Y60" i="13"/>
  <c r="AE60" i="13" s="1"/>
  <c r="AF88" i="13"/>
  <c r="AB29" i="13"/>
  <c r="AH29" i="13" s="1"/>
  <c r="Y6" i="13"/>
  <c r="AE6" i="13" s="1"/>
  <c r="Y28" i="13"/>
  <c r="AE28" i="13" s="1"/>
  <c r="AF32" i="13"/>
  <c r="AB32" i="13"/>
  <c r="AH32" i="13" s="1"/>
  <c r="AC10" i="13"/>
  <c r="Y10" i="13"/>
  <c r="AE10" i="13" s="1"/>
  <c r="AC81" i="13"/>
  <c r="Y81" i="13"/>
  <c r="AE81" i="13" s="1"/>
  <c r="Y90" i="13"/>
  <c r="AE90" i="13" s="1"/>
  <c r="AF93" i="13"/>
  <c r="AB35" i="13"/>
  <c r="AH35" i="13" s="1"/>
  <c r="Y95" i="13"/>
  <c r="AE95" i="13" s="1"/>
  <c r="AB50" i="13"/>
  <c r="AH50" i="13" s="1"/>
  <c r="AC75" i="13"/>
  <c r="Y75" i="13"/>
  <c r="AE75" i="13" s="1"/>
  <c r="AH97" i="13"/>
  <c r="Y40" i="13"/>
  <c r="AE40" i="13" s="1"/>
  <c r="AC40" i="13"/>
  <c r="Y12" i="13"/>
  <c r="AE12" i="13" s="1"/>
  <c r="AC12" i="13"/>
  <c r="V33" i="13"/>
  <c r="AB60" i="13"/>
  <c r="AH60" i="13" s="1"/>
  <c r="AF60" i="13"/>
  <c r="Y78" i="13"/>
  <c r="AE78" i="13" s="1"/>
  <c r="AC78" i="13"/>
  <c r="AB84" i="13"/>
  <c r="AH84" i="13" s="1"/>
  <c r="AB6" i="13"/>
  <c r="AH6" i="13" s="1"/>
  <c r="AF75" i="13"/>
  <c r="Y63" i="13"/>
  <c r="AE63" i="13" s="1"/>
  <c r="AC63" i="13"/>
  <c r="S16" i="13"/>
  <c r="V16" i="13" s="1"/>
  <c r="AC31" i="13"/>
  <c r="Y31" i="13"/>
  <c r="AE31" i="13" s="1"/>
  <c r="Y58" i="13"/>
  <c r="AE58" i="13" s="1"/>
  <c r="AC58" i="13"/>
  <c r="Y68" i="13"/>
  <c r="AE68" i="13" s="1"/>
  <c r="AC68" i="13"/>
  <c r="Y35" i="13"/>
  <c r="AE35" i="13" s="1"/>
  <c r="AB121" i="13"/>
  <c r="AH121" i="13" s="1"/>
  <c r="AF121" i="13"/>
  <c r="Y22" i="13"/>
  <c r="AE22" i="13" s="1"/>
  <c r="AE8" i="13"/>
  <c r="AF118" i="13"/>
  <c r="AB118" i="13"/>
  <c r="AH118" i="13" s="1"/>
  <c r="AC93" i="13"/>
  <c r="Y93" i="13"/>
  <c r="AE93" i="13" s="1"/>
  <c r="AB126" i="13"/>
  <c r="AH126" i="13" s="1"/>
  <c r="AF126" i="13"/>
  <c r="AF12" i="13"/>
  <c r="AB12" i="13"/>
  <c r="AH12" i="13" s="1"/>
  <c r="AF40" i="13"/>
  <c r="AB40" i="13"/>
  <c r="AH40" i="13" s="1"/>
  <c r="V42" i="13"/>
  <c r="Y103" i="13"/>
  <c r="AE103" i="13" s="1"/>
  <c r="V110" i="13"/>
  <c r="AB113" i="13"/>
  <c r="AH113" i="13" s="1"/>
  <c r="AB5" i="13"/>
  <c r="AH5" i="13" s="1"/>
  <c r="AB16" i="13"/>
  <c r="AH16" i="13" s="1"/>
  <c r="AC19" i="13"/>
  <c r="Y19" i="13"/>
  <c r="AE19" i="13" s="1"/>
  <c r="AB22" i="13"/>
  <c r="AH22" i="13" s="1"/>
  <c r="AB28" i="13"/>
  <c r="AH28" i="13" s="1"/>
  <c r="AB34" i="13"/>
  <c r="AH34" i="13" s="1"/>
  <c r="AF81" i="13"/>
  <c r="AB90" i="13"/>
  <c r="AH90" i="13" s="1"/>
  <c r="AB106" i="13"/>
  <c r="AH106" i="13" s="1"/>
  <c r="V37" i="13"/>
  <c r="Y45" i="13"/>
  <c r="AE45" i="13" s="1"/>
  <c r="AB68" i="13"/>
  <c r="AH68" i="13" s="1"/>
  <c r="S70" i="13"/>
  <c r="V70" i="13" s="1"/>
  <c r="AE71" i="13"/>
  <c r="Y77" i="13"/>
  <c r="AE77" i="13" s="1"/>
  <c r="AF86" i="13"/>
  <c r="AB86" i="13"/>
  <c r="AH86" i="13" s="1"/>
  <c r="AC117" i="13"/>
  <c r="Y117" i="13"/>
  <c r="AE117" i="13" s="1"/>
  <c r="S133" i="13"/>
  <c r="V133" i="13" s="1"/>
  <c r="AF19" i="13"/>
  <c r="AB19" i="13"/>
  <c r="AH19" i="13" s="1"/>
  <c r="AF65" i="13"/>
  <c r="S91" i="13"/>
  <c r="V91" i="13" s="1"/>
  <c r="AC92" i="13"/>
  <c r="AB103" i="13"/>
  <c r="AH103" i="13" s="1"/>
  <c r="AF116" i="13"/>
  <c r="AF123" i="13"/>
  <c r="AC49" i="13"/>
  <c r="Y49" i="13"/>
  <c r="AE49" i="13" s="1"/>
  <c r="AF71" i="13"/>
  <c r="AB71" i="13"/>
  <c r="AH71" i="13" s="1"/>
  <c r="Y4" i="13"/>
  <c r="AE4" i="13" s="1"/>
  <c r="Y33" i="13"/>
  <c r="AE33" i="13" s="1"/>
  <c r="AB45" i="13"/>
  <c r="AH45" i="13" s="1"/>
  <c r="AB47" i="13"/>
  <c r="AH47" i="13" s="1"/>
  <c r="AC83" i="13"/>
  <c r="Y83" i="13"/>
  <c r="AE83" i="13" s="1"/>
  <c r="AC100" i="13"/>
  <c r="Y125" i="13"/>
  <c r="AE125" i="13" s="1"/>
  <c r="AF4" i="13"/>
  <c r="AB4" i="13"/>
  <c r="AH4" i="13" s="1"/>
  <c r="AF33" i="13"/>
  <c r="AB33" i="13"/>
  <c r="AH33" i="13" s="1"/>
  <c r="AF49" i="13"/>
  <c r="AB49" i="13"/>
  <c r="AH49" i="13" s="1"/>
  <c r="Y54" i="13"/>
  <c r="AE54" i="13" s="1"/>
  <c r="Y64" i="13"/>
  <c r="AE64" i="13" s="1"/>
  <c r="Y119" i="13"/>
  <c r="AE119" i="13" s="1"/>
  <c r="AB132" i="13"/>
  <c r="AH132" i="13" s="1"/>
  <c r="AC67" i="13"/>
  <c r="Y67" i="13"/>
  <c r="AE67" i="13" s="1"/>
  <c r="AC87" i="13"/>
  <c r="Y87" i="13"/>
  <c r="AE87" i="13" s="1"/>
  <c r="AF128" i="13"/>
  <c r="AB128" i="13"/>
  <c r="AH128" i="13" s="1"/>
  <c r="Y41" i="13"/>
  <c r="AE41" i="13" s="1"/>
  <c r="AC80" i="13"/>
  <c r="Y133" i="13"/>
  <c r="AE133" i="13" s="1"/>
  <c r="AB119" i="13"/>
  <c r="AH119" i="13" s="1"/>
  <c r="AC116" i="13"/>
  <c r="Y116" i="13"/>
  <c r="AE116" i="13" s="1"/>
  <c r="AF39" i="13"/>
  <c r="AB39" i="13"/>
  <c r="AH39" i="13" s="1"/>
  <c r="Y44" i="13"/>
  <c r="AE44" i="13" s="1"/>
  <c r="AB55" i="13"/>
  <c r="AH55" i="13" s="1"/>
  <c r="AC64" i="13"/>
  <c r="AC73" i="13"/>
  <c r="Y73" i="13"/>
  <c r="AE73" i="13" s="1"/>
  <c r="Y76" i="13"/>
  <c r="AE76" i="13" s="1"/>
  <c r="AB89" i="13"/>
  <c r="AH89" i="13" s="1"/>
  <c r="AF105" i="13"/>
  <c r="AB105" i="13"/>
  <c r="AH105" i="13" s="1"/>
  <c r="AB112" i="13"/>
  <c r="AH112" i="13" s="1"/>
  <c r="V129" i="13"/>
  <c r="AF133" i="13"/>
  <c r="AB133" i="13"/>
  <c r="AH133" i="13" s="1"/>
  <c r="AH67" i="13"/>
  <c r="AF83" i="13"/>
  <c r="Y26" i="13"/>
  <c r="AE26" i="13" s="1"/>
  <c r="V48" i="13"/>
  <c r="AC54" i="13"/>
  <c r="AF67" i="13"/>
  <c r="AC85" i="13"/>
  <c r="AF87" i="13"/>
  <c r="AB91" i="13"/>
  <c r="AH91" i="13" s="1"/>
  <c r="AF91" i="13"/>
  <c r="S121" i="13"/>
  <c r="V121" i="13" s="1"/>
  <c r="AC122" i="13"/>
  <c r="AC65" i="13"/>
  <c r="Y65" i="13"/>
  <c r="AE65" i="13" s="1"/>
  <c r="AF98" i="13"/>
  <c r="AB98" i="13"/>
  <c r="AH98" i="13" s="1"/>
  <c r="AC123" i="13"/>
  <c r="Y123" i="13"/>
  <c r="AE123" i="13" s="1"/>
  <c r="AC39" i="13"/>
  <c r="Y39" i="13"/>
  <c r="AE39" i="13" s="1"/>
  <c r="AF11" i="13"/>
  <c r="AB11" i="13"/>
  <c r="AH11" i="13" s="1"/>
  <c r="AC18" i="13"/>
  <c r="Y18" i="13"/>
  <c r="AE18" i="13" s="1"/>
  <c r="AE105" i="13"/>
  <c r="AF26" i="13"/>
  <c r="AB26" i="13"/>
  <c r="AH26" i="13" s="1"/>
  <c r="AC41" i="13"/>
  <c r="AC48" i="13"/>
  <c r="Y48" i="13"/>
  <c r="AE48" i="13" s="1"/>
  <c r="V53" i="13"/>
  <c r="AB73" i="13"/>
  <c r="AH73" i="13" s="1"/>
  <c r="V79" i="13"/>
  <c r="AB99" i="13"/>
  <c r="AH99" i="13" s="1"/>
  <c r="AC133" i="13"/>
  <c r="AF130" i="13"/>
  <c r="AB130" i="13"/>
  <c r="AH130" i="13" s="1"/>
  <c r="V47" i="13"/>
  <c r="AE92" i="13"/>
  <c r="AC11" i="13"/>
  <c r="Y11" i="13"/>
  <c r="AE11" i="13" s="1"/>
  <c r="Y14" i="13"/>
  <c r="AE14" i="13" s="1"/>
  <c r="AC32" i="13"/>
  <c r="Y32" i="13"/>
  <c r="AE32" i="13" s="1"/>
  <c r="AF46" i="13"/>
  <c r="AB46" i="13"/>
  <c r="AH46" i="13" s="1"/>
  <c r="V56" i="13"/>
  <c r="AC70" i="13"/>
  <c r="S78" i="13"/>
  <c r="AE79" i="13"/>
  <c r="AC102" i="13"/>
  <c r="V45" i="13"/>
  <c r="Y7" i="13"/>
  <c r="AE7" i="13" s="1"/>
  <c r="Y21" i="13"/>
  <c r="AE21" i="13" s="1"/>
  <c r="Y36" i="13"/>
  <c r="AE36" i="13" s="1"/>
  <c r="V10" i="13"/>
  <c r="V17" i="13"/>
  <c r="V23" i="13"/>
  <c r="AB48" i="13"/>
  <c r="AH48" i="13" s="1"/>
  <c r="AF73" i="13"/>
  <c r="AF109" i="13"/>
  <c r="AB109" i="13"/>
  <c r="AH109" i="13" s="1"/>
  <c r="S85" i="13"/>
  <c r="V85" i="13" s="1"/>
  <c r="V86" i="13"/>
  <c r="V115" i="13"/>
  <c r="Y98" i="13"/>
  <c r="AE98" i="13" s="1"/>
  <c r="AF102" i="13"/>
  <c r="AB102" i="13"/>
  <c r="AH102" i="13" s="1"/>
  <c r="S114" i="13"/>
  <c r="V114" i="13" s="1"/>
  <c r="Y115" i="13"/>
  <c r="AE115" i="13" s="1"/>
  <c r="S120" i="13"/>
  <c r="V120" i="13" s="1"/>
  <c r="Y128" i="13"/>
  <c r="AE128" i="13" s="1"/>
  <c r="V63" i="13"/>
  <c r="V78" i="13"/>
  <c r="V97" i="13"/>
  <c r="AC115" i="13"/>
  <c r="AF94" i="13"/>
  <c r="AB94" i="13"/>
  <c r="AH94" i="13" s="1"/>
  <c r="AC101" i="13"/>
  <c r="Y101" i="13"/>
  <c r="AE101" i="13" s="1"/>
  <c r="S107" i="13"/>
  <c r="V107" i="13" s="1"/>
  <c r="AE108" i="13"/>
  <c r="S113" i="13"/>
  <c r="V113" i="13" s="1"/>
  <c r="AB117" i="13"/>
  <c r="AH117" i="13" s="1"/>
  <c r="AF124" i="13"/>
  <c r="AB124" i="13"/>
  <c r="AH124" i="13" s="1"/>
  <c r="AC42" i="13"/>
  <c r="Y42" i="13"/>
  <c r="AE42" i="13" s="1"/>
  <c r="AE59" i="13"/>
  <c r="AE74" i="13"/>
  <c r="AE82" i="13"/>
  <c r="AH101" i="13"/>
  <c r="S134" i="13"/>
  <c r="V134" i="13" s="1"/>
  <c r="AB42" i="13"/>
  <c r="AH42" i="13" s="1"/>
  <c r="AF59" i="13"/>
  <c r="AB59" i="13"/>
  <c r="AH59" i="13" s="1"/>
  <c r="AF66" i="13"/>
  <c r="AB66" i="13"/>
  <c r="AH66" i="13" s="1"/>
  <c r="AF74" i="13"/>
  <c r="AB74" i="13"/>
  <c r="AH74" i="13" s="1"/>
  <c r="AF82" i="13"/>
  <c r="AB82" i="13"/>
  <c r="AH82" i="13" s="1"/>
  <c r="Y110" i="13"/>
  <c r="AE110" i="13" s="1"/>
  <c r="S23" i="1"/>
  <c r="S24" i="1"/>
  <c r="S47" i="1"/>
  <c r="S49" i="1"/>
  <c r="S71" i="1"/>
  <c r="S72" i="1"/>
  <c r="S73" i="1"/>
  <c r="S74" i="1"/>
  <c r="S75" i="1"/>
  <c r="S121" i="1"/>
  <c r="S143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S19" i="1" s="1"/>
  <c r="Q20" i="1"/>
  <c r="S20" i="1" s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S43" i="1" s="1"/>
  <c r="Q44" i="1"/>
  <c r="S44" i="1" s="1"/>
  <c r="Q45" i="1"/>
  <c r="Q46" i="1"/>
  <c r="S46" i="1" s="1"/>
  <c r="Q47" i="1"/>
  <c r="Q48" i="1"/>
  <c r="Q49" i="1"/>
  <c r="Q50" i="1"/>
  <c r="Q51" i="1"/>
  <c r="S51" i="1" s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S67" i="1" s="1"/>
  <c r="Q68" i="1"/>
  <c r="S68" i="1" s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S91" i="1" s="1"/>
  <c r="Q92" i="1"/>
  <c r="S92" i="1" s="1"/>
  <c r="Q93" i="1"/>
  <c r="S93" i="1" s="1"/>
  <c r="Q94" i="1"/>
  <c r="S94" i="1" s="1"/>
  <c r="Q95" i="1"/>
  <c r="Q96" i="1"/>
  <c r="Q97" i="1"/>
  <c r="S97" i="1" s="1"/>
  <c r="Q98" i="1"/>
  <c r="Q99" i="1"/>
  <c r="S99" i="1" s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S115" i="1" s="1"/>
  <c r="Q116" i="1"/>
  <c r="S116" i="1" s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S139" i="1" s="1"/>
  <c r="Q140" i="1"/>
  <c r="S140" i="1" s="1"/>
  <c r="Q141" i="1"/>
  <c r="Q142" i="1"/>
  <c r="Q143" i="1"/>
  <c r="Q144" i="1"/>
  <c r="Q145" i="1"/>
  <c r="S145" i="1" s="1"/>
  <c r="Q146" i="1"/>
  <c r="Q147" i="1"/>
  <c r="S147" i="1" s="1"/>
  <c r="Q148" i="1"/>
  <c r="Q149" i="1"/>
  <c r="Q150" i="1"/>
  <c r="Q151" i="1"/>
  <c r="Q152" i="1"/>
  <c r="Q153" i="1"/>
  <c r="Q154" i="1"/>
  <c r="Q155" i="1"/>
  <c r="Q156" i="1"/>
  <c r="Q157" i="1"/>
  <c r="Q158" i="1"/>
  <c r="Q4" i="1"/>
  <c r="L5" i="1"/>
  <c r="S5" i="1" s="1"/>
  <c r="L6" i="1"/>
  <c r="S6" i="1" s="1"/>
  <c r="L7" i="1"/>
  <c r="S7" i="1" s="1"/>
  <c r="L8" i="1"/>
  <c r="S8" i="1" s="1"/>
  <c r="L9" i="1"/>
  <c r="S9" i="1" s="1"/>
  <c r="L10" i="1"/>
  <c r="S10" i="1" s="1"/>
  <c r="L11" i="1"/>
  <c r="S11" i="1" s="1"/>
  <c r="L12" i="1"/>
  <c r="L13" i="1"/>
  <c r="L14" i="1"/>
  <c r="S14" i="1" s="1"/>
  <c r="L15" i="1"/>
  <c r="S15" i="1" s="1"/>
  <c r="L16" i="1"/>
  <c r="S16" i="1" s="1"/>
  <c r="L17" i="1"/>
  <c r="L18" i="1"/>
  <c r="L19" i="1"/>
  <c r="L20" i="1"/>
  <c r="L21" i="1"/>
  <c r="S21" i="1" s="1"/>
  <c r="L22" i="1"/>
  <c r="S22" i="1" s="1"/>
  <c r="L23" i="1"/>
  <c r="L24" i="1"/>
  <c r="L25" i="1"/>
  <c r="S25" i="1" s="1"/>
  <c r="L26" i="1"/>
  <c r="S26" i="1" s="1"/>
  <c r="L27" i="1"/>
  <c r="S27" i="1" s="1"/>
  <c r="L28" i="1"/>
  <c r="S28" i="1" s="1"/>
  <c r="L29" i="1"/>
  <c r="S29" i="1" s="1"/>
  <c r="L30" i="1"/>
  <c r="S30" i="1" s="1"/>
  <c r="L31" i="1"/>
  <c r="S31" i="1" s="1"/>
  <c r="L32" i="1"/>
  <c r="S32" i="1" s="1"/>
  <c r="L33" i="1"/>
  <c r="S33" i="1" s="1"/>
  <c r="L34" i="1"/>
  <c r="S34" i="1" s="1"/>
  <c r="L35" i="1"/>
  <c r="S35" i="1" s="1"/>
  <c r="L36" i="1"/>
  <c r="L37" i="1"/>
  <c r="L38" i="1"/>
  <c r="S38" i="1" s="1"/>
  <c r="L39" i="1"/>
  <c r="S39" i="1" s="1"/>
  <c r="L40" i="1"/>
  <c r="S40" i="1" s="1"/>
  <c r="L41" i="1"/>
  <c r="L42" i="1"/>
  <c r="L43" i="1"/>
  <c r="L44" i="1"/>
  <c r="L45" i="1"/>
  <c r="S45" i="1" s="1"/>
  <c r="L46" i="1"/>
  <c r="L47" i="1"/>
  <c r="L48" i="1"/>
  <c r="S48" i="1" s="1"/>
  <c r="L49" i="1"/>
  <c r="L50" i="1"/>
  <c r="S50" i="1" s="1"/>
  <c r="L51" i="1"/>
  <c r="L52" i="1"/>
  <c r="S52" i="1" s="1"/>
  <c r="L53" i="1"/>
  <c r="S53" i="1" s="1"/>
  <c r="L54" i="1"/>
  <c r="S54" i="1" s="1"/>
  <c r="L55" i="1"/>
  <c r="S55" i="1" s="1"/>
  <c r="L56" i="1"/>
  <c r="S56" i="1" s="1"/>
  <c r="L57" i="1"/>
  <c r="S57" i="1" s="1"/>
  <c r="L58" i="1"/>
  <c r="S58" i="1" s="1"/>
  <c r="L59" i="1"/>
  <c r="S59" i="1" s="1"/>
  <c r="L60" i="1"/>
  <c r="L61" i="1"/>
  <c r="L62" i="1"/>
  <c r="S62" i="1" s="1"/>
  <c r="L63" i="1"/>
  <c r="S63" i="1" s="1"/>
  <c r="L64" i="1"/>
  <c r="S64" i="1" s="1"/>
  <c r="L65" i="1"/>
  <c r="L66" i="1"/>
  <c r="L67" i="1"/>
  <c r="L68" i="1"/>
  <c r="L69" i="1"/>
  <c r="S69" i="1" s="1"/>
  <c r="L70" i="1"/>
  <c r="S70" i="1" s="1"/>
  <c r="L71" i="1"/>
  <c r="L72" i="1"/>
  <c r="L73" i="1"/>
  <c r="L74" i="1"/>
  <c r="L75" i="1"/>
  <c r="L76" i="1"/>
  <c r="S76" i="1" s="1"/>
  <c r="L77" i="1"/>
  <c r="S77" i="1" s="1"/>
  <c r="L78" i="1"/>
  <c r="S78" i="1" s="1"/>
  <c r="L79" i="1"/>
  <c r="S79" i="1" s="1"/>
  <c r="L80" i="1"/>
  <c r="S80" i="1" s="1"/>
  <c r="L81" i="1"/>
  <c r="S81" i="1" s="1"/>
  <c r="L82" i="1"/>
  <c r="S82" i="1" s="1"/>
  <c r="L83" i="1"/>
  <c r="S83" i="1" s="1"/>
  <c r="L84" i="1"/>
  <c r="L85" i="1"/>
  <c r="L86" i="1"/>
  <c r="S86" i="1" s="1"/>
  <c r="L87" i="1"/>
  <c r="S87" i="1" s="1"/>
  <c r="L88" i="1"/>
  <c r="S88" i="1" s="1"/>
  <c r="L89" i="1"/>
  <c r="L90" i="1"/>
  <c r="L91" i="1"/>
  <c r="L92" i="1"/>
  <c r="L93" i="1"/>
  <c r="L94" i="1"/>
  <c r="L95" i="1"/>
  <c r="S95" i="1" s="1"/>
  <c r="L96" i="1"/>
  <c r="S96" i="1" s="1"/>
  <c r="L97" i="1"/>
  <c r="L98" i="1"/>
  <c r="S98" i="1" s="1"/>
  <c r="L99" i="1"/>
  <c r="L100" i="1"/>
  <c r="S100" i="1" s="1"/>
  <c r="L101" i="1"/>
  <c r="S101" i="1" s="1"/>
  <c r="L102" i="1"/>
  <c r="S102" i="1" s="1"/>
  <c r="L103" i="1"/>
  <c r="S103" i="1" s="1"/>
  <c r="L104" i="1"/>
  <c r="S104" i="1" s="1"/>
  <c r="L105" i="1"/>
  <c r="S105" i="1" s="1"/>
  <c r="L106" i="1"/>
  <c r="S106" i="1" s="1"/>
  <c r="L107" i="1"/>
  <c r="S107" i="1" s="1"/>
  <c r="L108" i="1"/>
  <c r="L109" i="1"/>
  <c r="L110" i="1"/>
  <c r="S110" i="1" s="1"/>
  <c r="L111" i="1"/>
  <c r="S111" i="1" s="1"/>
  <c r="L112" i="1"/>
  <c r="S112" i="1" s="1"/>
  <c r="L113" i="1"/>
  <c r="L114" i="1"/>
  <c r="L115" i="1"/>
  <c r="L116" i="1"/>
  <c r="L117" i="1"/>
  <c r="S117" i="1" s="1"/>
  <c r="L118" i="1"/>
  <c r="S118" i="1" s="1"/>
  <c r="L119" i="1"/>
  <c r="S119" i="1" s="1"/>
  <c r="L120" i="1"/>
  <c r="S120" i="1" s="1"/>
  <c r="L121" i="1"/>
  <c r="L122" i="1"/>
  <c r="S122" i="1" s="1"/>
  <c r="L123" i="1"/>
  <c r="S123" i="1" s="1"/>
  <c r="L124" i="1"/>
  <c r="S124" i="1" s="1"/>
  <c r="L125" i="1"/>
  <c r="S125" i="1" s="1"/>
  <c r="L126" i="1"/>
  <c r="S126" i="1" s="1"/>
  <c r="L127" i="1"/>
  <c r="S127" i="1" s="1"/>
  <c r="L128" i="1"/>
  <c r="S128" i="1" s="1"/>
  <c r="L129" i="1"/>
  <c r="S129" i="1" s="1"/>
  <c r="L130" i="1"/>
  <c r="S130" i="1" s="1"/>
  <c r="L131" i="1"/>
  <c r="S131" i="1" s="1"/>
  <c r="L132" i="1"/>
  <c r="L133" i="1"/>
  <c r="L134" i="1"/>
  <c r="S134" i="1" s="1"/>
  <c r="L135" i="1"/>
  <c r="S135" i="1" s="1"/>
  <c r="L136" i="1"/>
  <c r="S136" i="1" s="1"/>
  <c r="L137" i="1"/>
  <c r="L138" i="1"/>
  <c r="L139" i="1"/>
  <c r="L140" i="1"/>
  <c r="L141" i="1"/>
  <c r="S141" i="1" s="1"/>
  <c r="L142" i="1"/>
  <c r="S142" i="1" s="1"/>
  <c r="L143" i="1"/>
  <c r="L144" i="1"/>
  <c r="S144" i="1" s="1"/>
  <c r="L145" i="1"/>
  <c r="L146" i="1"/>
  <c r="S146" i="1" s="1"/>
  <c r="L147" i="1"/>
  <c r="L148" i="1"/>
  <c r="S148" i="1" s="1"/>
  <c r="L149" i="1"/>
  <c r="S149" i="1" s="1"/>
  <c r="L150" i="1"/>
  <c r="S150" i="1" s="1"/>
  <c r="L151" i="1"/>
  <c r="S151" i="1" s="1"/>
  <c r="L152" i="1"/>
  <c r="S152" i="1" s="1"/>
  <c r="L153" i="1"/>
  <c r="S153" i="1" s="1"/>
  <c r="L154" i="1"/>
  <c r="S154" i="1" s="1"/>
  <c r="L155" i="1"/>
  <c r="S155" i="1" s="1"/>
  <c r="L156" i="1"/>
  <c r="L157" i="1"/>
  <c r="L158" i="1"/>
  <c r="S158" i="1" s="1"/>
  <c r="L4" i="1"/>
  <c r="S4" i="1" s="1"/>
  <c r="W28" i="1"/>
  <c r="AC28" i="1" s="1"/>
  <c r="AA5" i="1"/>
  <c r="AG5" i="1" s="1"/>
  <c r="AA6" i="1"/>
  <c r="AG6" i="1" s="1"/>
  <c r="AA7" i="1"/>
  <c r="AG7" i="1" s="1"/>
  <c r="AA8" i="1"/>
  <c r="AG8" i="1" s="1"/>
  <c r="AA9" i="1"/>
  <c r="AG9" i="1" s="1"/>
  <c r="AA10" i="1"/>
  <c r="AG10" i="1" s="1"/>
  <c r="AA11" i="1"/>
  <c r="AG11" i="1" s="1"/>
  <c r="AA12" i="1"/>
  <c r="AG12" i="1" s="1"/>
  <c r="AA13" i="1"/>
  <c r="AG13" i="1" s="1"/>
  <c r="AA14" i="1"/>
  <c r="AG14" i="1" s="1"/>
  <c r="AA15" i="1"/>
  <c r="AG15" i="1" s="1"/>
  <c r="AA16" i="1"/>
  <c r="AG16" i="1" s="1"/>
  <c r="AA17" i="1"/>
  <c r="AG17" i="1" s="1"/>
  <c r="AA18" i="1"/>
  <c r="AG18" i="1" s="1"/>
  <c r="AA19" i="1"/>
  <c r="AG19" i="1" s="1"/>
  <c r="AA20" i="1"/>
  <c r="AG20" i="1" s="1"/>
  <c r="AA21" i="1"/>
  <c r="AG21" i="1" s="1"/>
  <c r="AA22" i="1"/>
  <c r="AG22" i="1" s="1"/>
  <c r="AA23" i="1"/>
  <c r="AG23" i="1" s="1"/>
  <c r="AA24" i="1"/>
  <c r="AG24" i="1" s="1"/>
  <c r="AA25" i="1"/>
  <c r="AG25" i="1" s="1"/>
  <c r="AA26" i="1"/>
  <c r="AG26" i="1" s="1"/>
  <c r="AA27" i="1"/>
  <c r="AG27" i="1" s="1"/>
  <c r="AA28" i="1"/>
  <c r="AG28" i="1" s="1"/>
  <c r="AA29" i="1"/>
  <c r="AG29" i="1" s="1"/>
  <c r="AA30" i="1"/>
  <c r="AG30" i="1" s="1"/>
  <c r="AA31" i="1"/>
  <c r="AG31" i="1" s="1"/>
  <c r="AA32" i="1"/>
  <c r="AG32" i="1" s="1"/>
  <c r="AA33" i="1"/>
  <c r="AG33" i="1" s="1"/>
  <c r="AA34" i="1"/>
  <c r="AG34" i="1" s="1"/>
  <c r="AA35" i="1"/>
  <c r="AG35" i="1" s="1"/>
  <c r="AA36" i="1"/>
  <c r="AG36" i="1" s="1"/>
  <c r="AA37" i="1"/>
  <c r="AG37" i="1" s="1"/>
  <c r="AA38" i="1"/>
  <c r="AG38" i="1" s="1"/>
  <c r="AA39" i="1"/>
  <c r="AG39" i="1" s="1"/>
  <c r="AA40" i="1"/>
  <c r="AG40" i="1" s="1"/>
  <c r="AA41" i="1"/>
  <c r="AG41" i="1" s="1"/>
  <c r="AA42" i="1"/>
  <c r="AG42" i="1" s="1"/>
  <c r="AA43" i="1"/>
  <c r="AG43" i="1" s="1"/>
  <c r="AA44" i="1"/>
  <c r="AG44" i="1" s="1"/>
  <c r="AA45" i="1"/>
  <c r="AG45" i="1" s="1"/>
  <c r="AA46" i="1"/>
  <c r="AG46" i="1" s="1"/>
  <c r="AA47" i="1"/>
  <c r="AG47" i="1" s="1"/>
  <c r="AA48" i="1"/>
  <c r="AG48" i="1" s="1"/>
  <c r="AA49" i="1"/>
  <c r="AG49" i="1" s="1"/>
  <c r="AA50" i="1"/>
  <c r="AG50" i="1" s="1"/>
  <c r="AA51" i="1"/>
  <c r="AG51" i="1" s="1"/>
  <c r="AA52" i="1"/>
  <c r="AG52" i="1" s="1"/>
  <c r="AA53" i="1"/>
  <c r="AG53" i="1" s="1"/>
  <c r="AA54" i="1"/>
  <c r="AG54" i="1" s="1"/>
  <c r="AA55" i="1"/>
  <c r="AG55" i="1" s="1"/>
  <c r="AA56" i="1"/>
  <c r="AG56" i="1" s="1"/>
  <c r="AA57" i="1"/>
  <c r="AG57" i="1" s="1"/>
  <c r="AA58" i="1"/>
  <c r="AG58" i="1" s="1"/>
  <c r="AA59" i="1"/>
  <c r="AG59" i="1" s="1"/>
  <c r="AA60" i="1"/>
  <c r="AG60" i="1" s="1"/>
  <c r="AA61" i="1"/>
  <c r="AG61" i="1" s="1"/>
  <c r="AA62" i="1"/>
  <c r="AG62" i="1" s="1"/>
  <c r="AA63" i="1"/>
  <c r="AG63" i="1" s="1"/>
  <c r="AA64" i="1"/>
  <c r="AG64" i="1" s="1"/>
  <c r="AA65" i="1"/>
  <c r="AG65" i="1" s="1"/>
  <c r="AA66" i="1"/>
  <c r="AG66" i="1" s="1"/>
  <c r="AA67" i="1"/>
  <c r="AG67" i="1" s="1"/>
  <c r="AA68" i="1"/>
  <c r="AG68" i="1" s="1"/>
  <c r="AA69" i="1"/>
  <c r="AG69" i="1" s="1"/>
  <c r="AA70" i="1"/>
  <c r="AG70" i="1" s="1"/>
  <c r="AA71" i="1"/>
  <c r="AG71" i="1" s="1"/>
  <c r="AA72" i="1"/>
  <c r="AG72" i="1" s="1"/>
  <c r="AA73" i="1"/>
  <c r="AG73" i="1" s="1"/>
  <c r="AA74" i="1"/>
  <c r="AG74" i="1" s="1"/>
  <c r="AA75" i="1"/>
  <c r="AG75" i="1" s="1"/>
  <c r="AA76" i="1"/>
  <c r="AG76" i="1" s="1"/>
  <c r="AA77" i="1"/>
  <c r="AG77" i="1" s="1"/>
  <c r="AA78" i="1"/>
  <c r="AG78" i="1" s="1"/>
  <c r="AA79" i="1"/>
  <c r="AG79" i="1" s="1"/>
  <c r="AA80" i="1"/>
  <c r="AG80" i="1" s="1"/>
  <c r="AA81" i="1"/>
  <c r="AG81" i="1" s="1"/>
  <c r="AA82" i="1"/>
  <c r="AG82" i="1" s="1"/>
  <c r="AA83" i="1"/>
  <c r="AG83" i="1" s="1"/>
  <c r="AA84" i="1"/>
  <c r="AG84" i="1" s="1"/>
  <c r="AA85" i="1"/>
  <c r="AG85" i="1" s="1"/>
  <c r="AA86" i="1"/>
  <c r="AG86" i="1" s="1"/>
  <c r="AA87" i="1"/>
  <c r="AG87" i="1" s="1"/>
  <c r="AA88" i="1"/>
  <c r="AG88" i="1" s="1"/>
  <c r="AA89" i="1"/>
  <c r="AG89" i="1" s="1"/>
  <c r="AA90" i="1"/>
  <c r="AG90" i="1" s="1"/>
  <c r="AA91" i="1"/>
  <c r="AG91" i="1" s="1"/>
  <c r="AA92" i="1"/>
  <c r="AG92" i="1" s="1"/>
  <c r="AA93" i="1"/>
  <c r="AG93" i="1" s="1"/>
  <c r="AA94" i="1"/>
  <c r="AG94" i="1" s="1"/>
  <c r="AA95" i="1"/>
  <c r="AG95" i="1" s="1"/>
  <c r="AA96" i="1"/>
  <c r="AG96" i="1" s="1"/>
  <c r="AA97" i="1"/>
  <c r="AG97" i="1" s="1"/>
  <c r="AA98" i="1"/>
  <c r="AG98" i="1" s="1"/>
  <c r="AA99" i="1"/>
  <c r="AG99" i="1" s="1"/>
  <c r="AA100" i="1"/>
  <c r="AG100" i="1" s="1"/>
  <c r="AA101" i="1"/>
  <c r="AG101" i="1" s="1"/>
  <c r="AA102" i="1"/>
  <c r="AG102" i="1" s="1"/>
  <c r="AA103" i="1"/>
  <c r="AG103" i="1" s="1"/>
  <c r="AA104" i="1"/>
  <c r="AG104" i="1" s="1"/>
  <c r="AA105" i="1"/>
  <c r="AG105" i="1" s="1"/>
  <c r="AA106" i="1"/>
  <c r="AG106" i="1" s="1"/>
  <c r="AA107" i="1"/>
  <c r="AG107" i="1" s="1"/>
  <c r="AA108" i="1"/>
  <c r="AG108" i="1" s="1"/>
  <c r="AA109" i="1"/>
  <c r="AG109" i="1" s="1"/>
  <c r="AA110" i="1"/>
  <c r="AG110" i="1" s="1"/>
  <c r="AA111" i="1"/>
  <c r="AG111" i="1" s="1"/>
  <c r="AA112" i="1"/>
  <c r="AG112" i="1" s="1"/>
  <c r="AA113" i="1"/>
  <c r="AG113" i="1" s="1"/>
  <c r="AA114" i="1"/>
  <c r="AG114" i="1" s="1"/>
  <c r="AA115" i="1"/>
  <c r="AG115" i="1" s="1"/>
  <c r="AA116" i="1"/>
  <c r="AG116" i="1" s="1"/>
  <c r="AA117" i="1"/>
  <c r="AG117" i="1" s="1"/>
  <c r="AA118" i="1"/>
  <c r="AG118" i="1" s="1"/>
  <c r="AA119" i="1"/>
  <c r="AG119" i="1" s="1"/>
  <c r="AA120" i="1"/>
  <c r="AG120" i="1" s="1"/>
  <c r="AA121" i="1"/>
  <c r="AG121" i="1" s="1"/>
  <c r="AA122" i="1"/>
  <c r="AG122" i="1" s="1"/>
  <c r="AA123" i="1"/>
  <c r="AG123" i="1" s="1"/>
  <c r="AA124" i="1"/>
  <c r="AG124" i="1" s="1"/>
  <c r="AA125" i="1"/>
  <c r="AG125" i="1" s="1"/>
  <c r="AA126" i="1"/>
  <c r="AG126" i="1" s="1"/>
  <c r="AA127" i="1"/>
  <c r="AG127" i="1" s="1"/>
  <c r="AA128" i="1"/>
  <c r="AG128" i="1" s="1"/>
  <c r="AA129" i="1"/>
  <c r="AG129" i="1" s="1"/>
  <c r="AA130" i="1"/>
  <c r="AG130" i="1" s="1"/>
  <c r="AA131" i="1"/>
  <c r="AG131" i="1" s="1"/>
  <c r="AA132" i="1"/>
  <c r="AG132" i="1" s="1"/>
  <c r="AA133" i="1"/>
  <c r="AG133" i="1" s="1"/>
  <c r="AA134" i="1"/>
  <c r="AG134" i="1" s="1"/>
  <c r="AA135" i="1"/>
  <c r="AG135" i="1" s="1"/>
  <c r="AA136" i="1"/>
  <c r="AG136" i="1" s="1"/>
  <c r="AA137" i="1"/>
  <c r="AG137" i="1" s="1"/>
  <c r="AA138" i="1"/>
  <c r="AG138" i="1" s="1"/>
  <c r="AA139" i="1"/>
  <c r="AG139" i="1" s="1"/>
  <c r="AA140" i="1"/>
  <c r="AG140" i="1" s="1"/>
  <c r="AA141" i="1"/>
  <c r="AG141" i="1" s="1"/>
  <c r="AA142" i="1"/>
  <c r="AG142" i="1" s="1"/>
  <c r="AA143" i="1"/>
  <c r="AG143" i="1" s="1"/>
  <c r="AA144" i="1"/>
  <c r="AG144" i="1" s="1"/>
  <c r="AA145" i="1"/>
  <c r="AG145" i="1" s="1"/>
  <c r="AA146" i="1"/>
  <c r="AG146" i="1" s="1"/>
  <c r="AA147" i="1"/>
  <c r="AG147" i="1" s="1"/>
  <c r="AA148" i="1"/>
  <c r="AG148" i="1" s="1"/>
  <c r="AA149" i="1"/>
  <c r="AG149" i="1" s="1"/>
  <c r="AA150" i="1"/>
  <c r="AG150" i="1" s="1"/>
  <c r="AA151" i="1"/>
  <c r="AG151" i="1" s="1"/>
  <c r="AA152" i="1"/>
  <c r="AG152" i="1" s="1"/>
  <c r="AA153" i="1"/>
  <c r="AG153" i="1" s="1"/>
  <c r="AA154" i="1"/>
  <c r="AG154" i="1" s="1"/>
  <c r="AA155" i="1"/>
  <c r="AG155" i="1" s="1"/>
  <c r="AA156" i="1"/>
  <c r="AG156" i="1" s="1"/>
  <c r="AA157" i="1"/>
  <c r="AG157" i="1" s="1"/>
  <c r="AA158" i="1"/>
  <c r="AG158" i="1" s="1"/>
  <c r="AA4" i="1"/>
  <c r="AG4" i="1" s="1"/>
  <c r="Z5" i="1"/>
  <c r="AF5" i="1" s="1"/>
  <c r="Z6" i="1"/>
  <c r="AF6" i="1" s="1"/>
  <c r="Z7" i="1"/>
  <c r="AF7" i="1" s="1"/>
  <c r="Z8" i="1"/>
  <c r="AF8" i="1" s="1"/>
  <c r="Z9" i="1"/>
  <c r="AF9" i="1" s="1"/>
  <c r="Z10" i="1"/>
  <c r="AF10" i="1" s="1"/>
  <c r="Z11" i="1"/>
  <c r="AF11" i="1" s="1"/>
  <c r="Z12" i="1"/>
  <c r="AF12" i="1" s="1"/>
  <c r="Z13" i="1"/>
  <c r="AF13" i="1" s="1"/>
  <c r="Z14" i="1"/>
  <c r="AF14" i="1" s="1"/>
  <c r="Z15" i="1"/>
  <c r="AF15" i="1" s="1"/>
  <c r="Z16" i="1"/>
  <c r="AF16" i="1" s="1"/>
  <c r="Z17" i="1"/>
  <c r="AF17" i="1" s="1"/>
  <c r="Z18" i="1"/>
  <c r="AF18" i="1" s="1"/>
  <c r="Z19" i="1"/>
  <c r="AF19" i="1" s="1"/>
  <c r="Z20" i="1"/>
  <c r="AF20" i="1" s="1"/>
  <c r="Z21" i="1"/>
  <c r="AF21" i="1" s="1"/>
  <c r="Z22" i="1"/>
  <c r="AF22" i="1" s="1"/>
  <c r="Z23" i="1"/>
  <c r="AF23" i="1" s="1"/>
  <c r="Z24" i="1"/>
  <c r="AF24" i="1" s="1"/>
  <c r="Z25" i="1"/>
  <c r="AF25" i="1" s="1"/>
  <c r="Z26" i="1"/>
  <c r="AF26" i="1" s="1"/>
  <c r="Z27" i="1"/>
  <c r="AF27" i="1" s="1"/>
  <c r="Z28" i="1"/>
  <c r="AF28" i="1" s="1"/>
  <c r="Z29" i="1"/>
  <c r="AF29" i="1" s="1"/>
  <c r="Z30" i="1"/>
  <c r="AF30" i="1" s="1"/>
  <c r="Z31" i="1"/>
  <c r="AF31" i="1" s="1"/>
  <c r="Z32" i="1"/>
  <c r="AF32" i="1" s="1"/>
  <c r="Z33" i="1"/>
  <c r="AF33" i="1" s="1"/>
  <c r="Z34" i="1"/>
  <c r="AF34" i="1" s="1"/>
  <c r="Z35" i="1"/>
  <c r="AF35" i="1" s="1"/>
  <c r="Z36" i="1"/>
  <c r="AF36" i="1" s="1"/>
  <c r="Z37" i="1"/>
  <c r="AF37" i="1" s="1"/>
  <c r="Z38" i="1"/>
  <c r="AF38" i="1" s="1"/>
  <c r="Z39" i="1"/>
  <c r="AF39" i="1" s="1"/>
  <c r="Z40" i="1"/>
  <c r="AF40" i="1" s="1"/>
  <c r="Z41" i="1"/>
  <c r="AF41" i="1" s="1"/>
  <c r="Z42" i="1"/>
  <c r="AF42" i="1" s="1"/>
  <c r="Z43" i="1"/>
  <c r="AF43" i="1" s="1"/>
  <c r="Z44" i="1"/>
  <c r="AF44" i="1" s="1"/>
  <c r="Z45" i="1"/>
  <c r="AF45" i="1" s="1"/>
  <c r="Z46" i="1"/>
  <c r="AF46" i="1" s="1"/>
  <c r="Z47" i="1"/>
  <c r="AF47" i="1" s="1"/>
  <c r="Z48" i="1"/>
  <c r="AF48" i="1" s="1"/>
  <c r="Z49" i="1"/>
  <c r="AF49" i="1" s="1"/>
  <c r="Z50" i="1"/>
  <c r="AF50" i="1" s="1"/>
  <c r="Z51" i="1"/>
  <c r="AF51" i="1" s="1"/>
  <c r="Z52" i="1"/>
  <c r="AF52" i="1" s="1"/>
  <c r="Z53" i="1"/>
  <c r="AF53" i="1" s="1"/>
  <c r="Z54" i="1"/>
  <c r="AF54" i="1" s="1"/>
  <c r="Z55" i="1"/>
  <c r="AF55" i="1" s="1"/>
  <c r="Z56" i="1"/>
  <c r="AF56" i="1" s="1"/>
  <c r="Z57" i="1"/>
  <c r="AF57" i="1" s="1"/>
  <c r="Z58" i="1"/>
  <c r="AF58" i="1" s="1"/>
  <c r="Z59" i="1"/>
  <c r="AF59" i="1" s="1"/>
  <c r="Z60" i="1"/>
  <c r="AF60" i="1" s="1"/>
  <c r="Z61" i="1"/>
  <c r="AF61" i="1" s="1"/>
  <c r="Z62" i="1"/>
  <c r="AF62" i="1" s="1"/>
  <c r="Z63" i="1"/>
  <c r="AF63" i="1" s="1"/>
  <c r="Z64" i="1"/>
  <c r="AF64" i="1" s="1"/>
  <c r="Z65" i="1"/>
  <c r="AF65" i="1" s="1"/>
  <c r="Z66" i="1"/>
  <c r="AF66" i="1" s="1"/>
  <c r="Z67" i="1"/>
  <c r="AF67" i="1" s="1"/>
  <c r="Z68" i="1"/>
  <c r="AF68" i="1" s="1"/>
  <c r="Z69" i="1"/>
  <c r="AF69" i="1" s="1"/>
  <c r="Z70" i="1"/>
  <c r="AF70" i="1" s="1"/>
  <c r="Z71" i="1"/>
  <c r="AF71" i="1" s="1"/>
  <c r="Z72" i="1"/>
  <c r="AF72" i="1" s="1"/>
  <c r="Z73" i="1"/>
  <c r="AF73" i="1" s="1"/>
  <c r="Z74" i="1"/>
  <c r="AF74" i="1" s="1"/>
  <c r="Z75" i="1"/>
  <c r="AF75" i="1" s="1"/>
  <c r="Z76" i="1"/>
  <c r="AF76" i="1" s="1"/>
  <c r="Z77" i="1"/>
  <c r="AF77" i="1" s="1"/>
  <c r="Z78" i="1"/>
  <c r="AF78" i="1" s="1"/>
  <c r="Z79" i="1"/>
  <c r="AF79" i="1" s="1"/>
  <c r="Z80" i="1"/>
  <c r="AF80" i="1" s="1"/>
  <c r="Z81" i="1"/>
  <c r="AF81" i="1" s="1"/>
  <c r="Z82" i="1"/>
  <c r="AF82" i="1" s="1"/>
  <c r="Z83" i="1"/>
  <c r="AF83" i="1" s="1"/>
  <c r="Z84" i="1"/>
  <c r="AF84" i="1" s="1"/>
  <c r="Z85" i="1"/>
  <c r="AF85" i="1" s="1"/>
  <c r="Z86" i="1"/>
  <c r="AF86" i="1" s="1"/>
  <c r="Z87" i="1"/>
  <c r="AF87" i="1" s="1"/>
  <c r="Z88" i="1"/>
  <c r="AF88" i="1" s="1"/>
  <c r="Z89" i="1"/>
  <c r="AF89" i="1" s="1"/>
  <c r="Z90" i="1"/>
  <c r="AF90" i="1" s="1"/>
  <c r="Z91" i="1"/>
  <c r="AF91" i="1" s="1"/>
  <c r="Z92" i="1"/>
  <c r="AF92" i="1" s="1"/>
  <c r="Z93" i="1"/>
  <c r="AF93" i="1" s="1"/>
  <c r="Z94" i="1"/>
  <c r="AF94" i="1" s="1"/>
  <c r="Z95" i="1"/>
  <c r="AF95" i="1" s="1"/>
  <c r="Z96" i="1"/>
  <c r="AF96" i="1" s="1"/>
  <c r="Z97" i="1"/>
  <c r="AF97" i="1" s="1"/>
  <c r="Z98" i="1"/>
  <c r="AF98" i="1" s="1"/>
  <c r="Z99" i="1"/>
  <c r="AF99" i="1" s="1"/>
  <c r="Z100" i="1"/>
  <c r="AF100" i="1" s="1"/>
  <c r="Z101" i="1"/>
  <c r="AF101" i="1" s="1"/>
  <c r="Z102" i="1"/>
  <c r="AF102" i="1" s="1"/>
  <c r="Z103" i="1"/>
  <c r="AF103" i="1" s="1"/>
  <c r="Z104" i="1"/>
  <c r="AF104" i="1" s="1"/>
  <c r="Z105" i="1"/>
  <c r="AF105" i="1" s="1"/>
  <c r="Z106" i="1"/>
  <c r="AF106" i="1" s="1"/>
  <c r="Z107" i="1"/>
  <c r="AF107" i="1" s="1"/>
  <c r="Z108" i="1"/>
  <c r="AF108" i="1" s="1"/>
  <c r="Z109" i="1"/>
  <c r="AF109" i="1" s="1"/>
  <c r="Z110" i="1"/>
  <c r="AF110" i="1" s="1"/>
  <c r="Z111" i="1"/>
  <c r="AF111" i="1" s="1"/>
  <c r="Z112" i="1"/>
  <c r="AF112" i="1" s="1"/>
  <c r="Z113" i="1"/>
  <c r="AF113" i="1" s="1"/>
  <c r="Z114" i="1"/>
  <c r="AF114" i="1" s="1"/>
  <c r="Z115" i="1"/>
  <c r="AF115" i="1" s="1"/>
  <c r="Z116" i="1"/>
  <c r="AF116" i="1" s="1"/>
  <c r="Z117" i="1"/>
  <c r="AF117" i="1" s="1"/>
  <c r="Z118" i="1"/>
  <c r="AF118" i="1" s="1"/>
  <c r="Z119" i="1"/>
  <c r="AF119" i="1" s="1"/>
  <c r="Z120" i="1"/>
  <c r="AF120" i="1" s="1"/>
  <c r="Z121" i="1"/>
  <c r="AF121" i="1" s="1"/>
  <c r="Z122" i="1"/>
  <c r="AF122" i="1" s="1"/>
  <c r="Z123" i="1"/>
  <c r="AF123" i="1" s="1"/>
  <c r="Z124" i="1"/>
  <c r="AF124" i="1" s="1"/>
  <c r="Z125" i="1"/>
  <c r="AF125" i="1" s="1"/>
  <c r="Z126" i="1"/>
  <c r="AF126" i="1" s="1"/>
  <c r="Z127" i="1"/>
  <c r="AF127" i="1" s="1"/>
  <c r="Z128" i="1"/>
  <c r="AF128" i="1" s="1"/>
  <c r="Z129" i="1"/>
  <c r="AF129" i="1" s="1"/>
  <c r="Z130" i="1"/>
  <c r="AF130" i="1" s="1"/>
  <c r="Z131" i="1"/>
  <c r="AF131" i="1" s="1"/>
  <c r="Z132" i="1"/>
  <c r="AF132" i="1" s="1"/>
  <c r="Z133" i="1"/>
  <c r="AF133" i="1" s="1"/>
  <c r="Z134" i="1"/>
  <c r="AF134" i="1" s="1"/>
  <c r="Z135" i="1"/>
  <c r="AF135" i="1" s="1"/>
  <c r="Z136" i="1"/>
  <c r="AF136" i="1" s="1"/>
  <c r="Z137" i="1"/>
  <c r="AF137" i="1" s="1"/>
  <c r="Z138" i="1"/>
  <c r="AF138" i="1" s="1"/>
  <c r="Z139" i="1"/>
  <c r="AF139" i="1" s="1"/>
  <c r="Z140" i="1"/>
  <c r="AF140" i="1" s="1"/>
  <c r="Z141" i="1"/>
  <c r="AF141" i="1" s="1"/>
  <c r="Z142" i="1"/>
  <c r="AF142" i="1" s="1"/>
  <c r="Z143" i="1"/>
  <c r="AF143" i="1" s="1"/>
  <c r="Z144" i="1"/>
  <c r="AF144" i="1" s="1"/>
  <c r="Z145" i="1"/>
  <c r="AF145" i="1" s="1"/>
  <c r="Z146" i="1"/>
  <c r="AF146" i="1" s="1"/>
  <c r="Z147" i="1"/>
  <c r="AF147" i="1" s="1"/>
  <c r="Z148" i="1"/>
  <c r="AF148" i="1" s="1"/>
  <c r="Z149" i="1"/>
  <c r="AF149" i="1" s="1"/>
  <c r="Z150" i="1"/>
  <c r="AF150" i="1" s="1"/>
  <c r="Z151" i="1"/>
  <c r="AF151" i="1" s="1"/>
  <c r="Z152" i="1"/>
  <c r="AF152" i="1" s="1"/>
  <c r="Z153" i="1"/>
  <c r="AF153" i="1" s="1"/>
  <c r="Z154" i="1"/>
  <c r="AF154" i="1" s="1"/>
  <c r="Z155" i="1"/>
  <c r="AF155" i="1" s="1"/>
  <c r="Z156" i="1"/>
  <c r="AF156" i="1" s="1"/>
  <c r="Z157" i="1"/>
  <c r="Z4" i="1"/>
  <c r="AF4" i="1" s="1"/>
  <c r="X5" i="1"/>
  <c r="AD5" i="1" s="1"/>
  <c r="X6" i="1"/>
  <c r="AD6" i="1" s="1"/>
  <c r="X7" i="1"/>
  <c r="AD7" i="1" s="1"/>
  <c r="X8" i="1"/>
  <c r="AD8" i="1" s="1"/>
  <c r="X9" i="1"/>
  <c r="AD9" i="1" s="1"/>
  <c r="X10" i="1"/>
  <c r="AD10" i="1" s="1"/>
  <c r="X11" i="1"/>
  <c r="AD11" i="1" s="1"/>
  <c r="X12" i="1"/>
  <c r="AD12" i="1" s="1"/>
  <c r="X13" i="1"/>
  <c r="AD13" i="1" s="1"/>
  <c r="X14" i="1"/>
  <c r="AD14" i="1" s="1"/>
  <c r="X15" i="1"/>
  <c r="AD15" i="1" s="1"/>
  <c r="X16" i="1"/>
  <c r="AD16" i="1" s="1"/>
  <c r="X17" i="1"/>
  <c r="AD17" i="1" s="1"/>
  <c r="X18" i="1"/>
  <c r="AD18" i="1" s="1"/>
  <c r="X19" i="1"/>
  <c r="AD19" i="1" s="1"/>
  <c r="X20" i="1"/>
  <c r="AD20" i="1" s="1"/>
  <c r="X21" i="1"/>
  <c r="AD21" i="1" s="1"/>
  <c r="X22" i="1"/>
  <c r="AD22" i="1" s="1"/>
  <c r="X23" i="1"/>
  <c r="AD23" i="1" s="1"/>
  <c r="X24" i="1"/>
  <c r="AD24" i="1" s="1"/>
  <c r="X25" i="1"/>
  <c r="AD25" i="1" s="1"/>
  <c r="X26" i="1"/>
  <c r="AD26" i="1" s="1"/>
  <c r="X27" i="1"/>
  <c r="AD27" i="1" s="1"/>
  <c r="X28" i="1"/>
  <c r="AD28" i="1" s="1"/>
  <c r="X29" i="1"/>
  <c r="AD29" i="1" s="1"/>
  <c r="X30" i="1"/>
  <c r="AD30" i="1" s="1"/>
  <c r="X31" i="1"/>
  <c r="AD31" i="1" s="1"/>
  <c r="X32" i="1"/>
  <c r="AD32" i="1" s="1"/>
  <c r="X33" i="1"/>
  <c r="AD33" i="1" s="1"/>
  <c r="X34" i="1"/>
  <c r="AD34" i="1" s="1"/>
  <c r="X35" i="1"/>
  <c r="AD35" i="1" s="1"/>
  <c r="X36" i="1"/>
  <c r="AD36" i="1" s="1"/>
  <c r="X37" i="1"/>
  <c r="AD37" i="1" s="1"/>
  <c r="X38" i="1"/>
  <c r="AD38" i="1" s="1"/>
  <c r="X39" i="1"/>
  <c r="AD39" i="1" s="1"/>
  <c r="X40" i="1"/>
  <c r="AD40" i="1" s="1"/>
  <c r="X41" i="1"/>
  <c r="AD41" i="1" s="1"/>
  <c r="X42" i="1"/>
  <c r="AD42" i="1" s="1"/>
  <c r="X43" i="1"/>
  <c r="AD43" i="1" s="1"/>
  <c r="X44" i="1"/>
  <c r="AD44" i="1" s="1"/>
  <c r="X45" i="1"/>
  <c r="AD45" i="1" s="1"/>
  <c r="X46" i="1"/>
  <c r="AD46" i="1" s="1"/>
  <c r="X47" i="1"/>
  <c r="AD47" i="1" s="1"/>
  <c r="X48" i="1"/>
  <c r="AD48" i="1" s="1"/>
  <c r="X49" i="1"/>
  <c r="AD49" i="1" s="1"/>
  <c r="X50" i="1"/>
  <c r="AD50" i="1" s="1"/>
  <c r="X51" i="1"/>
  <c r="AD51" i="1" s="1"/>
  <c r="X52" i="1"/>
  <c r="AD52" i="1" s="1"/>
  <c r="X53" i="1"/>
  <c r="AD53" i="1" s="1"/>
  <c r="X54" i="1"/>
  <c r="AD54" i="1" s="1"/>
  <c r="X55" i="1"/>
  <c r="AD55" i="1" s="1"/>
  <c r="X56" i="1"/>
  <c r="AD56" i="1" s="1"/>
  <c r="X57" i="1"/>
  <c r="AD57" i="1" s="1"/>
  <c r="X58" i="1"/>
  <c r="AD58" i="1" s="1"/>
  <c r="X59" i="1"/>
  <c r="AD59" i="1" s="1"/>
  <c r="X60" i="1"/>
  <c r="AD60" i="1" s="1"/>
  <c r="X61" i="1"/>
  <c r="AD61" i="1" s="1"/>
  <c r="X62" i="1"/>
  <c r="AD62" i="1" s="1"/>
  <c r="X63" i="1"/>
  <c r="AD63" i="1" s="1"/>
  <c r="X64" i="1"/>
  <c r="AD64" i="1" s="1"/>
  <c r="X65" i="1"/>
  <c r="AD65" i="1" s="1"/>
  <c r="X66" i="1"/>
  <c r="AD66" i="1" s="1"/>
  <c r="X67" i="1"/>
  <c r="AD67" i="1" s="1"/>
  <c r="X68" i="1"/>
  <c r="AD68" i="1" s="1"/>
  <c r="X69" i="1"/>
  <c r="AD69" i="1" s="1"/>
  <c r="X70" i="1"/>
  <c r="AD70" i="1" s="1"/>
  <c r="X71" i="1"/>
  <c r="AD71" i="1" s="1"/>
  <c r="X72" i="1"/>
  <c r="AD72" i="1" s="1"/>
  <c r="X73" i="1"/>
  <c r="AD73" i="1" s="1"/>
  <c r="X74" i="1"/>
  <c r="AD74" i="1" s="1"/>
  <c r="X75" i="1"/>
  <c r="AD75" i="1" s="1"/>
  <c r="X76" i="1"/>
  <c r="AD76" i="1" s="1"/>
  <c r="X77" i="1"/>
  <c r="AD77" i="1" s="1"/>
  <c r="X78" i="1"/>
  <c r="AD78" i="1" s="1"/>
  <c r="X79" i="1"/>
  <c r="AD79" i="1" s="1"/>
  <c r="X80" i="1"/>
  <c r="AD80" i="1" s="1"/>
  <c r="X81" i="1"/>
  <c r="AD81" i="1" s="1"/>
  <c r="X82" i="1"/>
  <c r="AD82" i="1" s="1"/>
  <c r="X83" i="1"/>
  <c r="AD83" i="1" s="1"/>
  <c r="X84" i="1"/>
  <c r="AD84" i="1" s="1"/>
  <c r="X85" i="1"/>
  <c r="AD85" i="1" s="1"/>
  <c r="X86" i="1"/>
  <c r="AD86" i="1" s="1"/>
  <c r="X87" i="1"/>
  <c r="AD87" i="1" s="1"/>
  <c r="X88" i="1"/>
  <c r="AD88" i="1" s="1"/>
  <c r="X89" i="1"/>
  <c r="AD89" i="1" s="1"/>
  <c r="X90" i="1"/>
  <c r="AD90" i="1" s="1"/>
  <c r="X91" i="1"/>
  <c r="AD91" i="1" s="1"/>
  <c r="X92" i="1"/>
  <c r="AD92" i="1" s="1"/>
  <c r="X93" i="1"/>
  <c r="AD93" i="1" s="1"/>
  <c r="X94" i="1"/>
  <c r="AD94" i="1" s="1"/>
  <c r="X95" i="1"/>
  <c r="AD95" i="1" s="1"/>
  <c r="X96" i="1"/>
  <c r="AD96" i="1" s="1"/>
  <c r="X97" i="1"/>
  <c r="AD97" i="1" s="1"/>
  <c r="X98" i="1"/>
  <c r="AD98" i="1" s="1"/>
  <c r="X99" i="1"/>
  <c r="AD99" i="1" s="1"/>
  <c r="X100" i="1"/>
  <c r="AD100" i="1" s="1"/>
  <c r="X101" i="1"/>
  <c r="AD101" i="1" s="1"/>
  <c r="X102" i="1"/>
  <c r="AD102" i="1" s="1"/>
  <c r="X103" i="1"/>
  <c r="AD103" i="1" s="1"/>
  <c r="X104" i="1"/>
  <c r="AD104" i="1" s="1"/>
  <c r="X105" i="1"/>
  <c r="AD105" i="1" s="1"/>
  <c r="X106" i="1"/>
  <c r="AD106" i="1" s="1"/>
  <c r="X107" i="1"/>
  <c r="AD107" i="1" s="1"/>
  <c r="X108" i="1"/>
  <c r="AD108" i="1" s="1"/>
  <c r="X109" i="1"/>
  <c r="AD109" i="1" s="1"/>
  <c r="X110" i="1"/>
  <c r="AD110" i="1" s="1"/>
  <c r="X111" i="1"/>
  <c r="AD111" i="1" s="1"/>
  <c r="X112" i="1"/>
  <c r="AD112" i="1" s="1"/>
  <c r="X113" i="1"/>
  <c r="AD113" i="1" s="1"/>
  <c r="X114" i="1"/>
  <c r="AD114" i="1" s="1"/>
  <c r="X115" i="1"/>
  <c r="AD115" i="1" s="1"/>
  <c r="X116" i="1"/>
  <c r="AD116" i="1" s="1"/>
  <c r="X117" i="1"/>
  <c r="AD117" i="1" s="1"/>
  <c r="X118" i="1"/>
  <c r="AD118" i="1" s="1"/>
  <c r="X119" i="1"/>
  <c r="AD119" i="1" s="1"/>
  <c r="X120" i="1"/>
  <c r="AD120" i="1" s="1"/>
  <c r="X121" i="1"/>
  <c r="AD121" i="1" s="1"/>
  <c r="X122" i="1"/>
  <c r="AD122" i="1" s="1"/>
  <c r="X123" i="1"/>
  <c r="AD123" i="1" s="1"/>
  <c r="X124" i="1"/>
  <c r="AD124" i="1" s="1"/>
  <c r="X125" i="1"/>
  <c r="AD125" i="1" s="1"/>
  <c r="X126" i="1"/>
  <c r="AD126" i="1" s="1"/>
  <c r="X127" i="1"/>
  <c r="AD127" i="1" s="1"/>
  <c r="X128" i="1"/>
  <c r="AD128" i="1" s="1"/>
  <c r="X129" i="1"/>
  <c r="AD129" i="1" s="1"/>
  <c r="X130" i="1"/>
  <c r="AD130" i="1" s="1"/>
  <c r="X131" i="1"/>
  <c r="AD131" i="1" s="1"/>
  <c r="X132" i="1"/>
  <c r="AD132" i="1" s="1"/>
  <c r="X133" i="1"/>
  <c r="AD133" i="1" s="1"/>
  <c r="X134" i="1"/>
  <c r="AD134" i="1" s="1"/>
  <c r="X135" i="1"/>
  <c r="AD135" i="1" s="1"/>
  <c r="X136" i="1"/>
  <c r="AD136" i="1" s="1"/>
  <c r="X137" i="1"/>
  <c r="AD137" i="1" s="1"/>
  <c r="X138" i="1"/>
  <c r="AD138" i="1" s="1"/>
  <c r="X139" i="1"/>
  <c r="AD139" i="1" s="1"/>
  <c r="X140" i="1"/>
  <c r="AD140" i="1" s="1"/>
  <c r="X141" i="1"/>
  <c r="AD141" i="1" s="1"/>
  <c r="X142" i="1"/>
  <c r="AD142" i="1" s="1"/>
  <c r="X143" i="1"/>
  <c r="AD143" i="1" s="1"/>
  <c r="X144" i="1"/>
  <c r="AD144" i="1" s="1"/>
  <c r="X145" i="1"/>
  <c r="AD145" i="1" s="1"/>
  <c r="X146" i="1"/>
  <c r="AD146" i="1" s="1"/>
  <c r="X147" i="1"/>
  <c r="AD147" i="1" s="1"/>
  <c r="X148" i="1"/>
  <c r="AD148" i="1" s="1"/>
  <c r="X149" i="1"/>
  <c r="AD149" i="1" s="1"/>
  <c r="X150" i="1"/>
  <c r="AD150" i="1" s="1"/>
  <c r="X151" i="1"/>
  <c r="AD151" i="1" s="1"/>
  <c r="X152" i="1"/>
  <c r="AD152" i="1" s="1"/>
  <c r="X153" i="1"/>
  <c r="AD153" i="1" s="1"/>
  <c r="X154" i="1"/>
  <c r="AD154" i="1" s="1"/>
  <c r="X155" i="1"/>
  <c r="AD155" i="1" s="1"/>
  <c r="X156" i="1"/>
  <c r="AD156" i="1" s="1"/>
  <c r="X157" i="1"/>
  <c r="AD157" i="1" s="1"/>
  <c r="X158" i="1"/>
  <c r="AD158" i="1" s="1"/>
  <c r="X4" i="1"/>
  <c r="AD4" i="1" s="1"/>
  <c r="W5" i="1"/>
  <c r="AC5" i="1" s="1"/>
  <c r="W6" i="1"/>
  <c r="AC6" i="1" s="1"/>
  <c r="W7" i="1"/>
  <c r="AC7" i="1" s="1"/>
  <c r="W8" i="1"/>
  <c r="AC8" i="1" s="1"/>
  <c r="W9" i="1"/>
  <c r="AC9" i="1" s="1"/>
  <c r="W10" i="1"/>
  <c r="AC10" i="1" s="1"/>
  <c r="W11" i="1"/>
  <c r="AC11" i="1" s="1"/>
  <c r="W12" i="1"/>
  <c r="AC12" i="1" s="1"/>
  <c r="W13" i="1"/>
  <c r="AC13" i="1" s="1"/>
  <c r="W14" i="1"/>
  <c r="AC14" i="1" s="1"/>
  <c r="W15" i="1"/>
  <c r="AC15" i="1" s="1"/>
  <c r="W16" i="1"/>
  <c r="AC16" i="1" s="1"/>
  <c r="W17" i="1"/>
  <c r="AC17" i="1" s="1"/>
  <c r="W18" i="1"/>
  <c r="AC18" i="1" s="1"/>
  <c r="W19" i="1"/>
  <c r="AC19" i="1" s="1"/>
  <c r="W20" i="1"/>
  <c r="AC20" i="1" s="1"/>
  <c r="W21" i="1"/>
  <c r="AC21" i="1" s="1"/>
  <c r="W22" i="1"/>
  <c r="AC22" i="1" s="1"/>
  <c r="W23" i="1"/>
  <c r="AC23" i="1" s="1"/>
  <c r="W24" i="1"/>
  <c r="AC24" i="1" s="1"/>
  <c r="W25" i="1"/>
  <c r="AC25" i="1" s="1"/>
  <c r="W26" i="1"/>
  <c r="AC26" i="1" s="1"/>
  <c r="W27" i="1"/>
  <c r="AC27" i="1" s="1"/>
  <c r="W29" i="1"/>
  <c r="AC29" i="1" s="1"/>
  <c r="W30" i="1"/>
  <c r="AC30" i="1" s="1"/>
  <c r="W31" i="1"/>
  <c r="AC31" i="1" s="1"/>
  <c r="W32" i="1"/>
  <c r="AC32" i="1" s="1"/>
  <c r="W33" i="1"/>
  <c r="AC33" i="1" s="1"/>
  <c r="W34" i="1"/>
  <c r="AC34" i="1" s="1"/>
  <c r="W35" i="1"/>
  <c r="AC35" i="1" s="1"/>
  <c r="W36" i="1"/>
  <c r="AC36" i="1" s="1"/>
  <c r="W37" i="1"/>
  <c r="AC37" i="1" s="1"/>
  <c r="W38" i="1"/>
  <c r="AC38" i="1" s="1"/>
  <c r="W39" i="1"/>
  <c r="AC39" i="1" s="1"/>
  <c r="W40" i="1"/>
  <c r="AC40" i="1" s="1"/>
  <c r="W41" i="1"/>
  <c r="AC41" i="1" s="1"/>
  <c r="W42" i="1"/>
  <c r="AC42" i="1" s="1"/>
  <c r="W43" i="1"/>
  <c r="AC43" i="1" s="1"/>
  <c r="W44" i="1"/>
  <c r="AC44" i="1" s="1"/>
  <c r="W45" i="1"/>
  <c r="AC45" i="1" s="1"/>
  <c r="W46" i="1"/>
  <c r="AC46" i="1" s="1"/>
  <c r="W47" i="1"/>
  <c r="AC47" i="1" s="1"/>
  <c r="W48" i="1"/>
  <c r="AC48" i="1" s="1"/>
  <c r="W49" i="1"/>
  <c r="AC49" i="1" s="1"/>
  <c r="W50" i="1"/>
  <c r="AC50" i="1" s="1"/>
  <c r="W51" i="1"/>
  <c r="AC51" i="1" s="1"/>
  <c r="W52" i="1"/>
  <c r="AC52" i="1" s="1"/>
  <c r="W53" i="1"/>
  <c r="AC53" i="1" s="1"/>
  <c r="W54" i="1"/>
  <c r="AC54" i="1" s="1"/>
  <c r="W55" i="1"/>
  <c r="AC55" i="1" s="1"/>
  <c r="W56" i="1"/>
  <c r="AC56" i="1" s="1"/>
  <c r="W57" i="1"/>
  <c r="AC57" i="1" s="1"/>
  <c r="W58" i="1"/>
  <c r="AC58" i="1" s="1"/>
  <c r="W59" i="1"/>
  <c r="AC59" i="1" s="1"/>
  <c r="W60" i="1"/>
  <c r="AC60" i="1" s="1"/>
  <c r="W61" i="1"/>
  <c r="AC61" i="1" s="1"/>
  <c r="W62" i="1"/>
  <c r="AC62" i="1" s="1"/>
  <c r="W63" i="1"/>
  <c r="AC63" i="1" s="1"/>
  <c r="W64" i="1"/>
  <c r="AC64" i="1" s="1"/>
  <c r="W65" i="1"/>
  <c r="AC65" i="1" s="1"/>
  <c r="W66" i="1"/>
  <c r="AC66" i="1" s="1"/>
  <c r="W67" i="1"/>
  <c r="AC67" i="1" s="1"/>
  <c r="W68" i="1"/>
  <c r="AC68" i="1" s="1"/>
  <c r="W69" i="1"/>
  <c r="AC69" i="1" s="1"/>
  <c r="W70" i="1"/>
  <c r="AC70" i="1" s="1"/>
  <c r="W71" i="1"/>
  <c r="AC71" i="1" s="1"/>
  <c r="W72" i="1"/>
  <c r="AC72" i="1" s="1"/>
  <c r="W73" i="1"/>
  <c r="AC73" i="1" s="1"/>
  <c r="W74" i="1"/>
  <c r="AC74" i="1" s="1"/>
  <c r="W75" i="1"/>
  <c r="AC75" i="1" s="1"/>
  <c r="W76" i="1"/>
  <c r="AC76" i="1" s="1"/>
  <c r="W77" i="1"/>
  <c r="AC77" i="1" s="1"/>
  <c r="W78" i="1"/>
  <c r="AC78" i="1" s="1"/>
  <c r="W79" i="1"/>
  <c r="AC79" i="1" s="1"/>
  <c r="W80" i="1"/>
  <c r="AC80" i="1" s="1"/>
  <c r="W81" i="1"/>
  <c r="AC81" i="1" s="1"/>
  <c r="W82" i="1"/>
  <c r="AC82" i="1" s="1"/>
  <c r="W83" i="1"/>
  <c r="AC83" i="1" s="1"/>
  <c r="W84" i="1"/>
  <c r="AC84" i="1" s="1"/>
  <c r="W85" i="1"/>
  <c r="AC85" i="1" s="1"/>
  <c r="W86" i="1"/>
  <c r="AC86" i="1" s="1"/>
  <c r="W87" i="1"/>
  <c r="AC87" i="1" s="1"/>
  <c r="W88" i="1"/>
  <c r="AC88" i="1" s="1"/>
  <c r="W89" i="1"/>
  <c r="AC89" i="1" s="1"/>
  <c r="W90" i="1"/>
  <c r="AC90" i="1" s="1"/>
  <c r="W91" i="1"/>
  <c r="AC91" i="1" s="1"/>
  <c r="W92" i="1"/>
  <c r="AC92" i="1" s="1"/>
  <c r="W93" i="1"/>
  <c r="AC93" i="1" s="1"/>
  <c r="W94" i="1"/>
  <c r="AC94" i="1" s="1"/>
  <c r="W95" i="1"/>
  <c r="AC95" i="1" s="1"/>
  <c r="W96" i="1"/>
  <c r="AC96" i="1" s="1"/>
  <c r="W97" i="1"/>
  <c r="AC97" i="1" s="1"/>
  <c r="W98" i="1"/>
  <c r="AC98" i="1" s="1"/>
  <c r="W99" i="1"/>
  <c r="AC99" i="1" s="1"/>
  <c r="W100" i="1"/>
  <c r="AC100" i="1" s="1"/>
  <c r="W101" i="1"/>
  <c r="AC101" i="1" s="1"/>
  <c r="W102" i="1"/>
  <c r="AC102" i="1" s="1"/>
  <c r="W103" i="1"/>
  <c r="AC103" i="1" s="1"/>
  <c r="W104" i="1"/>
  <c r="AC104" i="1" s="1"/>
  <c r="W105" i="1"/>
  <c r="AC105" i="1" s="1"/>
  <c r="W106" i="1"/>
  <c r="AC106" i="1" s="1"/>
  <c r="W107" i="1"/>
  <c r="AC107" i="1" s="1"/>
  <c r="W108" i="1"/>
  <c r="AC108" i="1" s="1"/>
  <c r="W109" i="1"/>
  <c r="AC109" i="1" s="1"/>
  <c r="W110" i="1"/>
  <c r="AC110" i="1" s="1"/>
  <c r="W111" i="1"/>
  <c r="AC111" i="1" s="1"/>
  <c r="W112" i="1"/>
  <c r="AC112" i="1" s="1"/>
  <c r="W113" i="1"/>
  <c r="AC113" i="1" s="1"/>
  <c r="W114" i="1"/>
  <c r="AC114" i="1" s="1"/>
  <c r="W115" i="1"/>
  <c r="AC115" i="1" s="1"/>
  <c r="W116" i="1"/>
  <c r="AC116" i="1" s="1"/>
  <c r="W117" i="1"/>
  <c r="AC117" i="1" s="1"/>
  <c r="W118" i="1"/>
  <c r="AC118" i="1" s="1"/>
  <c r="W119" i="1"/>
  <c r="AC119" i="1" s="1"/>
  <c r="W120" i="1"/>
  <c r="AC120" i="1" s="1"/>
  <c r="W121" i="1"/>
  <c r="AC121" i="1" s="1"/>
  <c r="W122" i="1"/>
  <c r="AC122" i="1" s="1"/>
  <c r="W123" i="1"/>
  <c r="AC123" i="1" s="1"/>
  <c r="W124" i="1"/>
  <c r="AC124" i="1" s="1"/>
  <c r="W125" i="1"/>
  <c r="AC125" i="1" s="1"/>
  <c r="W126" i="1"/>
  <c r="AC126" i="1" s="1"/>
  <c r="W127" i="1"/>
  <c r="AC127" i="1" s="1"/>
  <c r="W128" i="1"/>
  <c r="AC128" i="1" s="1"/>
  <c r="W129" i="1"/>
  <c r="AC129" i="1" s="1"/>
  <c r="W130" i="1"/>
  <c r="AC130" i="1" s="1"/>
  <c r="W131" i="1"/>
  <c r="AC131" i="1" s="1"/>
  <c r="W132" i="1"/>
  <c r="AC132" i="1" s="1"/>
  <c r="W133" i="1"/>
  <c r="AC133" i="1" s="1"/>
  <c r="W134" i="1"/>
  <c r="AC134" i="1" s="1"/>
  <c r="W135" i="1"/>
  <c r="AC135" i="1" s="1"/>
  <c r="W136" i="1"/>
  <c r="AC136" i="1" s="1"/>
  <c r="W137" i="1"/>
  <c r="AC137" i="1" s="1"/>
  <c r="W138" i="1"/>
  <c r="AC138" i="1" s="1"/>
  <c r="W139" i="1"/>
  <c r="AC139" i="1" s="1"/>
  <c r="W140" i="1"/>
  <c r="AC140" i="1" s="1"/>
  <c r="W141" i="1"/>
  <c r="AC141" i="1" s="1"/>
  <c r="W142" i="1"/>
  <c r="AC142" i="1" s="1"/>
  <c r="W143" i="1"/>
  <c r="AC143" i="1" s="1"/>
  <c r="W144" i="1"/>
  <c r="AC144" i="1" s="1"/>
  <c r="W145" i="1"/>
  <c r="AC145" i="1" s="1"/>
  <c r="W146" i="1"/>
  <c r="AC146" i="1" s="1"/>
  <c r="W147" i="1"/>
  <c r="AC147" i="1" s="1"/>
  <c r="W148" i="1"/>
  <c r="AC148" i="1" s="1"/>
  <c r="W149" i="1"/>
  <c r="AC149" i="1" s="1"/>
  <c r="W150" i="1"/>
  <c r="AC150" i="1" s="1"/>
  <c r="W151" i="1"/>
  <c r="AC151" i="1" s="1"/>
  <c r="W152" i="1"/>
  <c r="AC152" i="1" s="1"/>
  <c r="W153" i="1"/>
  <c r="AC153" i="1" s="1"/>
  <c r="W154" i="1"/>
  <c r="AC154" i="1" s="1"/>
  <c r="W155" i="1"/>
  <c r="AC155" i="1" s="1"/>
  <c r="W156" i="1"/>
  <c r="AC156" i="1" s="1"/>
  <c r="W157" i="1"/>
  <c r="W4" i="1"/>
  <c r="AC4" i="1" s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4" i="1"/>
  <c r="S138" i="1" l="1"/>
  <c r="S114" i="1"/>
  <c r="S90" i="1"/>
  <c r="S66" i="1"/>
  <c r="S42" i="1"/>
  <c r="S18" i="1"/>
  <c r="S137" i="1"/>
  <c r="S113" i="1"/>
  <c r="S89" i="1"/>
  <c r="S65" i="1"/>
  <c r="S41" i="1"/>
  <c r="S17" i="1"/>
  <c r="S157" i="1"/>
  <c r="S133" i="1"/>
  <c r="S109" i="1"/>
  <c r="S85" i="1"/>
  <c r="S61" i="1"/>
  <c r="S37" i="1"/>
  <c r="S13" i="1"/>
  <c r="S156" i="1"/>
  <c r="S132" i="1"/>
  <c r="S108" i="1"/>
  <c r="S84" i="1"/>
  <c r="S60" i="1"/>
  <c r="S36" i="1"/>
  <c r="S12" i="1"/>
  <c r="AB158" i="1"/>
  <c r="Y158" i="1"/>
  <c r="H158" i="1"/>
  <c r="AB157" i="1"/>
  <c r="Y157" i="1"/>
  <c r="H157" i="1"/>
  <c r="AB156" i="1"/>
  <c r="Y156" i="1"/>
  <c r="H156" i="1"/>
  <c r="AB155" i="1"/>
  <c r="Y155" i="1"/>
  <c r="H155" i="1"/>
  <c r="AB154" i="1"/>
  <c r="Y154" i="1"/>
  <c r="H154" i="1"/>
  <c r="AB153" i="1"/>
  <c r="Y153" i="1"/>
  <c r="H153" i="1"/>
  <c r="AB152" i="1"/>
  <c r="Y152" i="1"/>
  <c r="H152" i="1"/>
  <c r="AB151" i="1"/>
  <c r="Y151" i="1"/>
  <c r="H151" i="1"/>
  <c r="AB150" i="1"/>
  <c r="Y150" i="1"/>
  <c r="H150" i="1"/>
  <c r="AB149" i="1"/>
  <c r="Y149" i="1"/>
  <c r="H149" i="1"/>
  <c r="AB148" i="1"/>
  <c r="Y148" i="1"/>
  <c r="H148" i="1"/>
  <c r="AB147" i="1"/>
  <c r="Y147" i="1"/>
  <c r="H147" i="1"/>
  <c r="AB146" i="1"/>
  <c r="Y146" i="1"/>
  <c r="H146" i="1"/>
  <c r="AB145" i="1"/>
  <c r="Y145" i="1"/>
  <c r="H145" i="1"/>
  <c r="AB144" i="1"/>
  <c r="Y144" i="1"/>
  <c r="H144" i="1"/>
  <c r="AB143" i="1"/>
  <c r="Y143" i="1"/>
  <c r="H143" i="1"/>
  <c r="AB142" i="1"/>
  <c r="Y142" i="1"/>
  <c r="H142" i="1"/>
  <c r="AB141" i="1"/>
  <c r="Y141" i="1"/>
  <c r="H141" i="1"/>
  <c r="AB140" i="1"/>
  <c r="Y140" i="1"/>
  <c r="H140" i="1"/>
  <c r="AB139" i="1"/>
  <c r="Y139" i="1"/>
  <c r="H139" i="1"/>
  <c r="AB138" i="1"/>
  <c r="Y138" i="1"/>
  <c r="H138" i="1"/>
  <c r="AB137" i="1"/>
  <c r="Y137" i="1"/>
  <c r="H137" i="1"/>
  <c r="AB136" i="1"/>
  <c r="Y136" i="1"/>
  <c r="H136" i="1"/>
  <c r="AB135" i="1"/>
  <c r="Y135" i="1"/>
  <c r="H135" i="1"/>
  <c r="AB134" i="1"/>
  <c r="Y134" i="1"/>
  <c r="H134" i="1"/>
  <c r="AB133" i="1"/>
  <c r="Y133" i="1"/>
  <c r="H133" i="1"/>
  <c r="AB132" i="1"/>
  <c r="Y132" i="1"/>
  <c r="H132" i="1"/>
  <c r="AB131" i="1"/>
  <c r="Y131" i="1"/>
  <c r="H131" i="1"/>
  <c r="AB130" i="1"/>
  <c r="Y130" i="1"/>
  <c r="H130" i="1"/>
  <c r="AB129" i="1"/>
  <c r="Y129" i="1"/>
  <c r="H129" i="1"/>
  <c r="AB128" i="1"/>
  <c r="Y128" i="1"/>
  <c r="H128" i="1"/>
  <c r="AB127" i="1"/>
  <c r="Y127" i="1"/>
  <c r="H127" i="1"/>
  <c r="AB126" i="1"/>
  <c r="Y126" i="1"/>
  <c r="H126" i="1"/>
  <c r="AB125" i="1"/>
  <c r="Y125" i="1"/>
  <c r="H125" i="1"/>
  <c r="AB124" i="1"/>
  <c r="Y124" i="1"/>
  <c r="H124" i="1"/>
  <c r="AB123" i="1"/>
  <c r="Y123" i="1"/>
  <c r="H123" i="1"/>
  <c r="AB122" i="1"/>
  <c r="Y122" i="1"/>
  <c r="H122" i="1"/>
  <c r="AB121" i="1"/>
  <c r="Y121" i="1"/>
  <c r="H121" i="1"/>
  <c r="AB120" i="1"/>
  <c r="Y120" i="1"/>
  <c r="H120" i="1"/>
  <c r="AB119" i="1"/>
  <c r="Y119" i="1"/>
  <c r="H119" i="1"/>
  <c r="AB118" i="1"/>
  <c r="Y118" i="1"/>
  <c r="H118" i="1"/>
  <c r="AB117" i="1"/>
  <c r="Y117" i="1"/>
  <c r="H117" i="1"/>
  <c r="AB116" i="1"/>
  <c r="Y116" i="1"/>
  <c r="H116" i="1"/>
  <c r="AB115" i="1"/>
  <c r="Y115" i="1"/>
  <c r="H115" i="1"/>
  <c r="AB114" i="1"/>
  <c r="Y114" i="1"/>
  <c r="H114" i="1"/>
  <c r="AB113" i="1"/>
  <c r="Y113" i="1"/>
  <c r="H113" i="1"/>
  <c r="AB112" i="1"/>
  <c r="Y112" i="1"/>
  <c r="H112" i="1"/>
  <c r="AB111" i="1"/>
  <c r="Y111" i="1"/>
  <c r="H111" i="1"/>
  <c r="AB110" i="1"/>
  <c r="Y110" i="1"/>
  <c r="H110" i="1"/>
  <c r="AB109" i="1"/>
  <c r="Y109" i="1"/>
  <c r="H109" i="1"/>
  <c r="AB108" i="1"/>
  <c r="Y108" i="1"/>
  <c r="H108" i="1"/>
  <c r="AB107" i="1"/>
  <c r="Y107" i="1"/>
  <c r="H107" i="1"/>
  <c r="AB106" i="1"/>
  <c r="Y106" i="1"/>
  <c r="H106" i="1"/>
  <c r="AB105" i="1"/>
  <c r="Y105" i="1"/>
  <c r="H105" i="1"/>
  <c r="AB104" i="1"/>
  <c r="Y104" i="1"/>
  <c r="H104" i="1"/>
  <c r="AB103" i="1"/>
  <c r="Y103" i="1"/>
  <c r="H103" i="1"/>
  <c r="AB102" i="1"/>
  <c r="Y102" i="1"/>
  <c r="H102" i="1"/>
  <c r="AB101" i="1"/>
  <c r="Y101" i="1"/>
  <c r="H101" i="1"/>
  <c r="AB100" i="1"/>
  <c r="Y100" i="1"/>
  <c r="H100" i="1"/>
  <c r="AB99" i="1"/>
  <c r="Y99" i="1"/>
  <c r="H99" i="1"/>
  <c r="AB98" i="1"/>
  <c r="Y98" i="1"/>
  <c r="H98" i="1"/>
  <c r="AB97" i="1"/>
  <c r="Y97" i="1"/>
  <c r="H97" i="1"/>
  <c r="AB96" i="1"/>
  <c r="Y96" i="1"/>
  <c r="H96" i="1"/>
  <c r="AB95" i="1"/>
  <c r="Y95" i="1"/>
  <c r="H95" i="1"/>
  <c r="AB94" i="1"/>
  <c r="Y94" i="1"/>
  <c r="H94" i="1"/>
  <c r="AB93" i="1"/>
  <c r="Y93" i="1"/>
  <c r="H93" i="1"/>
  <c r="AB92" i="1"/>
  <c r="Y92" i="1"/>
  <c r="H92" i="1"/>
  <c r="AB91" i="1"/>
  <c r="Y91" i="1"/>
  <c r="H91" i="1"/>
  <c r="AB90" i="1"/>
  <c r="Y90" i="1"/>
  <c r="H90" i="1"/>
  <c r="AB89" i="1"/>
  <c r="Y89" i="1"/>
  <c r="H89" i="1"/>
  <c r="AB88" i="1"/>
  <c r="Y88" i="1"/>
  <c r="H88" i="1"/>
  <c r="AB87" i="1"/>
  <c r="Y87" i="1"/>
  <c r="H87" i="1"/>
  <c r="AB86" i="1"/>
  <c r="Y86" i="1"/>
  <c r="H86" i="1"/>
  <c r="AB85" i="1"/>
  <c r="Y85" i="1"/>
  <c r="H85" i="1"/>
  <c r="AB84" i="1"/>
  <c r="Y84" i="1"/>
  <c r="H84" i="1"/>
  <c r="AB83" i="1"/>
  <c r="Y83" i="1"/>
  <c r="H83" i="1"/>
  <c r="AB82" i="1"/>
  <c r="Y82" i="1"/>
  <c r="H82" i="1"/>
  <c r="AB81" i="1"/>
  <c r="Y81" i="1"/>
  <c r="H81" i="1"/>
  <c r="AB80" i="1"/>
  <c r="Y80" i="1"/>
  <c r="H80" i="1"/>
  <c r="AB79" i="1"/>
  <c r="Y79" i="1"/>
  <c r="H79" i="1"/>
  <c r="AB78" i="1"/>
  <c r="Y78" i="1"/>
  <c r="H78" i="1"/>
  <c r="AB77" i="1"/>
  <c r="Y77" i="1"/>
  <c r="H77" i="1"/>
  <c r="AB76" i="1"/>
  <c r="Y76" i="1"/>
  <c r="H76" i="1"/>
  <c r="AB75" i="1"/>
  <c r="Y75" i="1"/>
  <c r="H75" i="1"/>
  <c r="AB74" i="1"/>
  <c r="Y74" i="1"/>
  <c r="H74" i="1"/>
  <c r="AB73" i="1"/>
  <c r="Y73" i="1"/>
  <c r="H73" i="1"/>
  <c r="AB72" i="1"/>
  <c r="Y72" i="1"/>
  <c r="H72" i="1"/>
  <c r="AB71" i="1"/>
  <c r="Y71" i="1"/>
  <c r="H71" i="1"/>
  <c r="AB70" i="1"/>
  <c r="Y70" i="1"/>
  <c r="H70" i="1"/>
  <c r="AB69" i="1"/>
  <c r="Y69" i="1"/>
  <c r="H69" i="1"/>
  <c r="AB68" i="1"/>
  <c r="Y68" i="1"/>
  <c r="H68" i="1"/>
  <c r="AB67" i="1"/>
  <c r="Y67" i="1"/>
  <c r="H67" i="1"/>
  <c r="AB66" i="1"/>
  <c r="Y66" i="1"/>
  <c r="H66" i="1"/>
  <c r="AB65" i="1"/>
  <c r="Y65" i="1"/>
  <c r="H65" i="1"/>
  <c r="AB64" i="1"/>
  <c r="Y64" i="1"/>
  <c r="H64" i="1"/>
  <c r="AB63" i="1"/>
  <c r="Y63" i="1"/>
  <c r="H63" i="1"/>
  <c r="AB62" i="1"/>
  <c r="Y62" i="1"/>
  <c r="H62" i="1"/>
  <c r="AB61" i="1"/>
  <c r="Y61" i="1"/>
  <c r="H61" i="1"/>
  <c r="AB60" i="1"/>
  <c r="Y60" i="1"/>
  <c r="H60" i="1"/>
  <c r="AB59" i="1"/>
  <c r="Y59" i="1"/>
  <c r="H59" i="1"/>
  <c r="AB58" i="1"/>
  <c r="Y58" i="1"/>
  <c r="H58" i="1"/>
  <c r="AB57" i="1"/>
  <c r="Y57" i="1"/>
  <c r="H57" i="1"/>
  <c r="AB56" i="1"/>
  <c r="Y56" i="1"/>
  <c r="H56" i="1"/>
  <c r="AB55" i="1"/>
  <c r="Y55" i="1"/>
  <c r="H55" i="1"/>
  <c r="AB54" i="1"/>
  <c r="Y54" i="1"/>
  <c r="H54" i="1"/>
  <c r="AB53" i="1"/>
  <c r="Y53" i="1"/>
  <c r="H53" i="1"/>
  <c r="AB52" i="1"/>
  <c r="Y52" i="1"/>
  <c r="H52" i="1"/>
  <c r="AB51" i="1"/>
  <c r="Y51" i="1"/>
  <c r="H51" i="1"/>
  <c r="AB50" i="1"/>
  <c r="Y50" i="1"/>
  <c r="H50" i="1"/>
  <c r="AB49" i="1"/>
  <c r="Y49" i="1"/>
  <c r="H49" i="1"/>
  <c r="AB48" i="1"/>
  <c r="Y48" i="1"/>
  <c r="H48" i="1"/>
  <c r="AB47" i="1"/>
  <c r="Y47" i="1"/>
  <c r="H47" i="1"/>
  <c r="AB46" i="1"/>
  <c r="Y46" i="1"/>
  <c r="H46" i="1"/>
  <c r="AB45" i="1"/>
  <c r="Y45" i="1"/>
  <c r="H45" i="1"/>
  <c r="AB44" i="1"/>
  <c r="Y44" i="1"/>
  <c r="H44" i="1"/>
  <c r="AB43" i="1"/>
  <c r="Y43" i="1"/>
  <c r="H43" i="1"/>
  <c r="AB42" i="1"/>
  <c r="Y42" i="1"/>
  <c r="H42" i="1"/>
  <c r="AB41" i="1"/>
  <c r="Y41" i="1"/>
  <c r="H41" i="1"/>
  <c r="AB40" i="1"/>
  <c r="Y40" i="1"/>
  <c r="H40" i="1"/>
  <c r="AB39" i="1"/>
  <c r="Y39" i="1"/>
  <c r="H39" i="1"/>
  <c r="AB38" i="1"/>
  <c r="Y38" i="1"/>
  <c r="H38" i="1"/>
  <c r="AB37" i="1"/>
  <c r="Y37" i="1"/>
  <c r="H37" i="1"/>
  <c r="AB36" i="1"/>
  <c r="Y36" i="1"/>
  <c r="H36" i="1"/>
  <c r="AB35" i="1"/>
  <c r="Y35" i="1"/>
  <c r="H35" i="1"/>
  <c r="AB34" i="1"/>
  <c r="Y34" i="1"/>
  <c r="H34" i="1"/>
  <c r="AB33" i="1"/>
  <c r="Y33" i="1"/>
  <c r="H33" i="1"/>
  <c r="AB32" i="1"/>
  <c r="Y32" i="1"/>
  <c r="H32" i="1"/>
  <c r="AB31" i="1"/>
  <c r="Y31" i="1"/>
  <c r="H31" i="1"/>
  <c r="AB30" i="1"/>
  <c r="Y30" i="1"/>
  <c r="H30" i="1"/>
  <c r="AB29" i="1"/>
  <c r="Y29" i="1"/>
  <c r="H29" i="1"/>
  <c r="AB28" i="1"/>
  <c r="Y28" i="1"/>
  <c r="H28" i="1"/>
  <c r="AB27" i="1"/>
  <c r="Y27" i="1"/>
  <c r="H27" i="1"/>
  <c r="AB26" i="1"/>
  <c r="Y26" i="1"/>
  <c r="H26" i="1"/>
  <c r="AB25" i="1"/>
  <c r="Y25" i="1"/>
  <c r="H25" i="1"/>
  <c r="AB24" i="1"/>
  <c r="Y24" i="1"/>
  <c r="H24" i="1"/>
  <c r="AB23" i="1"/>
  <c r="Y23" i="1"/>
  <c r="H23" i="1"/>
  <c r="AB22" i="1"/>
  <c r="Y22" i="1"/>
  <c r="H22" i="1"/>
  <c r="AB21" i="1"/>
  <c r="Y21" i="1"/>
  <c r="H21" i="1"/>
  <c r="AB20" i="1"/>
  <c r="Y20" i="1"/>
  <c r="H20" i="1"/>
  <c r="AB19" i="1"/>
  <c r="Y19" i="1"/>
  <c r="H19" i="1"/>
  <c r="AB18" i="1"/>
  <c r="Y18" i="1"/>
  <c r="H18" i="1"/>
  <c r="AB17" i="1"/>
  <c r="Y17" i="1"/>
  <c r="H17" i="1"/>
  <c r="AB16" i="1"/>
  <c r="Y16" i="1"/>
  <c r="H16" i="1"/>
  <c r="AB15" i="1"/>
  <c r="Y15" i="1"/>
  <c r="H15" i="1"/>
  <c r="AB14" i="1"/>
  <c r="Y14" i="1"/>
  <c r="H14" i="1"/>
  <c r="AB13" i="1"/>
  <c r="Y13" i="1"/>
  <c r="H13" i="1"/>
  <c r="AB12" i="1"/>
  <c r="Y12" i="1"/>
  <c r="H12" i="1"/>
  <c r="AB11" i="1"/>
  <c r="Y11" i="1"/>
  <c r="H11" i="1"/>
  <c r="AB10" i="1"/>
  <c r="Y10" i="1"/>
  <c r="H10" i="1"/>
  <c r="AB9" i="1"/>
  <c r="Y9" i="1"/>
  <c r="H9" i="1"/>
  <c r="AB8" i="1"/>
  <c r="Y8" i="1"/>
  <c r="H8" i="1"/>
  <c r="AB7" i="1"/>
  <c r="Y7" i="1"/>
  <c r="H7" i="1"/>
  <c r="AB6" i="1"/>
  <c r="Y6" i="1"/>
  <c r="H6" i="1"/>
  <c r="AB5" i="1"/>
  <c r="Y5" i="1"/>
  <c r="H5" i="1"/>
  <c r="AB4" i="1"/>
  <c r="Y4" i="1"/>
  <c r="H4" i="1"/>
  <c r="AE11" i="1" l="1"/>
  <c r="AE19" i="1"/>
  <c r="AE27" i="1"/>
  <c r="AE35" i="1"/>
  <c r="AE43" i="1"/>
  <c r="AE51" i="1"/>
  <c r="AE59" i="1"/>
  <c r="AE67" i="1"/>
  <c r="AE75" i="1"/>
  <c r="AE83" i="1"/>
  <c r="AE91" i="1"/>
  <c r="AE99" i="1"/>
  <c r="AE107" i="1"/>
  <c r="AE115" i="1"/>
  <c r="AE123" i="1"/>
  <c r="AE131" i="1"/>
  <c r="AE139" i="1"/>
  <c r="AE147" i="1"/>
  <c r="AE155" i="1"/>
  <c r="AH11" i="1"/>
  <c r="AH43" i="1"/>
  <c r="AH91" i="1"/>
  <c r="AH131" i="1"/>
  <c r="AH139" i="1"/>
  <c r="AH147" i="1"/>
  <c r="AH54" i="1"/>
  <c r="AH118" i="1"/>
  <c r="AH126" i="1"/>
  <c r="AH134" i="1"/>
  <c r="AH142" i="1"/>
  <c r="AH150" i="1"/>
  <c r="AH158" i="1"/>
  <c r="AE8" i="1"/>
  <c r="AE16" i="1"/>
  <c r="AE24" i="1"/>
  <c r="AE32" i="1"/>
  <c r="AE40" i="1"/>
  <c r="AE56" i="1"/>
  <c r="AE64" i="1"/>
  <c r="AE136" i="1"/>
  <c r="AH8" i="1"/>
  <c r="AH16" i="1"/>
  <c r="AH24" i="1"/>
  <c r="AH32" i="1"/>
  <c r="AH40" i="1"/>
  <c r="AE10" i="1"/>
  <c r="AE18" i="1"/>
  <c r="AE26" i="1"/>
  <c r="AE34" i="1"/>
  <c r="AE42" i="1"/>
  <c r="AE50" i="1"/>
  <c r="AE58" i="1"/>
  <c r="AE66" i="1"/>
  <c r="AE74" i="1"/>
  <c r="AE82" i="1"/>
  <c r="AE90" i="1"/>
  <c r="AE98" i="1"/>
  <c r="AE106" i="1"/>
  <c r="AE114" i="1"/>
  <c r="AE122" i="1"/>
  <c r="AE130" i="1"/>
  <c r="AE138" i="1"/>
  <c r="AE146" i="1"/>
  <c r="AE154" i="1"/>
  <c r="AE92" i="1"/>
  <c r="AH4" i="1"/>
  <c r="AH92" i="1"/>
  <c r="AE25" i="1"/>
  <c r="AH129" i="1"/>
  <c r="AH114" i="1"/>
  <c r="AE9" i="1"/>
  <c r="AE49" i="1"/>
  <c r="AE81" i="1"/>
  <c r="AH146" i="1"/>
  <c r="AE20" i="1"/>
  <c r="AE68" i="1"/>
  <c r="AE108" i="1"/>
  <c r="AE140" i="1"/>
  <c r="AH12" i="1"/>
  <c r="AH36" i="1"/>
  <c r="AH60" i="1"/>
  <c r="AH84" i="1"/>
  <c r="AH108" i="1"/>
  <c r="AH124" i="1"/>
  <c r="AE13" i="1"/>
  <c r="AE29" i="1"/>
  <c r="AE45" i="1"/>
  <c r="AE17" i="1"/>
  <c r="AE33" i="1"/>
  <c r="AE41" i="1"/>
  <c r="AE57" i="1"/>
  <c r="AE65" i="1"/>
  <c r="AE73" i="1"/>
  <c r="AE89" i="1"/>
  <c r="AE97" i="1"/>
  <c r="AE105" i="1"/>
  <c r="AE113" i="1"/>
  <c r="AE121" i="1"/>
  <c r="AE129" i="1"/>
  <c r="AE137" i="1"/>
  <c r="AE145" i="1"/>
  <c r="AE153" i="1"/>
  <c r="AH9" i="1"/>
  <c r="AH17" i="1"/>
  <c r="AH25" i="1"/>
  <c r="AH33" i="1"/>
  <c r="AH41" i="1"/>
  <c r="AH49" i="1"/>
  <c r="AH57" i="1"/>
  <c r="AH65" i="1"/>
  <c r="AH73" i="1"/>
  <c r="AH81" i="1"/>
  <c r="AH89" i="1"/>
  <c r="AH97" i="1"/>
  <c r="AH105" i="1"/>
  <c r="AH113" i="1"/>
  <c r="AH121" i="1"/>
  <c r="AH137" i="1"/>
  <c r="AH145" i="1"/>
  <c r="AH153" i="1"/>
  <c r="AH10" i="1"/>
  <c r="AH18" i="1"/>
  <c r="AH26" i="1"/>
  <c r="AH34" i="1"/>
  <c r="AH42" i="1"/>
  <c r="AH50" i="1"/>
  <c r="AH58" i="1"/>
  <c r="AH66" i="1"/>
  <c r="AH74" i="1"/>
  <c r="AH82" i="1"/>
  <c r="AH90" i="1"/>
  <c r="AH98" i="1"/>
  <c r="AH106" i="1"/>
  <c r="AH122" i="1"/>
  <c r="AH130" i="1"/>
  <c r="AH138" i="1"/>
  <c r="AH154" i="1"/>
  <c r="AH19" i="1"/>
  <c r="AH27" i="1"/>
  <c r="AH35" i="1"/>
  <c r="AH51" i="1"/>
  <c r="AH59" i="1"/>
  <c r="AH67" i="1"/>
  <c r="AH75" i="1"/>
  <c r="AH83" i="1"/>
  <c r="AH99" i="1"/>
  <c r="AH107" i="1"/>
  <c r="AH115" i="1"/>
  <c r="AH123" i="1"/>
  <c r="AH155" i="1"/>
  <c r="AE52" i="1"/>
  <c r="AE156" i="1"/>
  <c r="AH148" i="1"/>
  <c r="AE6" i="1"/>
  <c r="AE14" i="1"/>
  <c r="AE22" i="1"/>
  <c r="AE30" i="1"/>
  <c r="AE38" i="1"/>
  <c r="AE46" i="1"/>
  <c r="AE54" i="1"/>
  <c r="AE62" i="1"/>
  <c r="AE70" i="1"/>
  <c r="AE78" i="1"/>
  <c r="AE86" i="1"/>
  <c r="AE94" i="1"/>
  <c r="AE102" i="1"/>
  <c r="AE110" i="1"/>
  <c r="AE118" i="1"/>
  <c r="AE126" i="1"/>
  <c r="AE134" i="1"/>
  <c r="AE142" i="1"/>
  <c r="AE150" i="1"/>
  <c r="AE158" i="1"/>
  <c r="AE12" i="1"/>
  <c r="AH61" i="1"/>
  <c r="AE103" i="1"/>
  <c r="AH15" i="1"/>
  <c r="AH23" i="1"/>
  <c r="AH31" i="1"/>
  <c r="AH39" i="1"/>
  <c r="AH47" i="1"/>
  <c r="AH55" i="1"/>
  <c r="AH63" i="1"/>
  <c r="AH71" i="1"/>
  <c r="AH79" i="1"/>
  <c r="AH87" i="1"/>
  <c r="AH95" i="1"/>
  <c r="AH103" i="1"/>
  <c r="AH111" i="1"/>
  <c r="AH119" i="1"/>
  <c r="AH127" i="1"/>
  <c r="AH135" i="1"/>
  <c r="AH143" i="1"/>
  <c r="AH151" i="1"/>
  <c r="AE36" i="1"/>
  <c r="AE84" i="1"/>
  <c r="AE124" i="1"/>
  <c r="AH52" i="1"/>
  <c r="AH140" i="1"/>
  <c r="AE125" i="1"/>
  <c r="AH141" i="1"/>
  <c r="AE71" i="1"/>
  <c r="AH7" i="1"/>
  <c r="AE28" i="1"/>
  <c r="AE60" i="1"/>
  <c r="AE100" i="1"/>
  <c r="AE132" i="1"/>
  <c r="AH28" i="1"/>
  <c r="AH68" i="1"/>
  <c r="AH100" i="1"/>
  <c r="AH132" i="1"/>
  <c r="AE5" i="1"/>
  <c r="AE37" i="1"/>
  <c r="AE61" i="1"/>
  <c r="AE69" i="1"/>
  <c r="AE85" i="1"/>
  <c r="AE93" i="1"/>
  <c r="AE109" i="1"/>
  <c r="AE133" i="1"/>
  <c r="AE149" i="1"/>
  <c r="AH5" i="1"/>
  <c r="AH13" i="1"/>
  <c r="AH29" i="1"/>
  <c r="AH45" i="1"/>
  <c r="AH69" i="1"/>
  <c r="AH85" i="1"/>
  <c r="AH93" i="1"/>
  <c r="AH109" i="1"/>
  <c r="AH125" i="1"/>
  <c r="AH149" i="1"/>
  <c r="AH6" i="1"/>
  <c r="AH22" i="1"/>
  <c r="AH38" i="1"/>
  <c r="AH62" i="1"/>
  <c r="AH86" i="1"/>
  <c r="AH110" i="1"/>
  <c r="AE15" i="1"/>
  <c r="AE31" i="1"/>
  <c r="AE39" i="1"/>
  <c r="AE55" i="1"/>
  <c r="AE79" i="1"/>
  <c r="AE95" i="1"/>
  <c r="AE119" i="1"/>
  <c r="AE135" i="1"/>
  <c r="AE151" i="1"/>
  <c r="AE48" i="1"/>
  <c r="AE72" i="1"/>
  <c r="AE80" i="1"/>
  <c r="AE88" i="1"/>
  <c r="AE96" i="1"/>
  <c r="AE104" i="1"/>
  <c r="AE112" i="1"/>
  <c r="AE120" i="1"/>
  <c r="AE128" i="1"/>
  <c r="AE144" i="1"/>
  <c r="AE152" i="1"/>
  <c r="AE4" i="1"/>
  <c r="AE44" i="1"/>
  <c r="AE76" i="1"/>
  <c r="AE116" i="1"/>
  <c r="AE148" i="1"/>
  <c r="AH20" i="1"/>
  <c r="AH44" i="1"/>
  <c r="AH76" i="1"/>
  <c r="AH116" i="1"/>
  <c r="AH156" i="1"/>
  <c r="AE21" i="1"/>
  <c r="AE53" i="1"/>
  <c r="AE77" i="1"/>
  <c r="AE101" i="1"/>
  <c r="AE117" i="1"/>
  <c r="AE141" i="1"/>
  <c r="AE157" i="1"/>
  <c r="AH21" i="1"/>
  <c r="AH37" i="1"/>
  <c r="AH53" i="1"/>
  <c r="AH77" i="1"/>
  <c r="AH101" i="1"/>
  <c r="AH117" i="1"/>
  <c r="AH133" i="1"/>
  <c r="AH157" i="1"/>
  <c r="AH14" i="1"/>
  <c r="AH30" i="1"/>
  <c r="AH46" i="1"/>
  <c r="AH70" i="1"/>
  <c r="AH78" i="1"/>
  <c r="AH94" i="1"/>
  <c r="AH102" i="1"/>
  <c r="AE7" i="1"/>
  <c r="AE23" i="1"/>
  <c r="AE47" i="1"/>
  <c r="AE63" i="1"/>
  <c r="AE87" i="1"/>
  <c r="AE111" i="1"/>
  <c r="AE127" i="1"/>
  <c r="AE143" i="1"/>
  <c r="AH48" i="1"/>
  <c r="AH56" i="1"/>
  <c r="AH64" i="1"/>
  <c r="AH72" i="1"/>
  <c r="AH80" i="1"/>
  <c r="AH88" i="1"/>
  <c r="AH96" i="1"/>
  <c r="AH104" i="1"/>
  <c r="AH112" i="1"/>
  <c r="AH120" i="1"/>
  <c r="AH128" i="1"/>
  <c r="AH136" i="1"/>
  <c r="AH144" i="1"/>
  <c r="AH152" i="1"/>
  <c r="V19" i="1"/>
  <c r="V12" i="1"/>
  <c r="V8" i="1"/>
  <c r="V135" i="1"/>
  <c r="V87" i="1"/>
  <c r="V63" i="1"/>
  <c r="V39" i="1"/>
  <c r="V15" i="1"/>
  <c r="V7" i="1"/>
  <c r="V4" i="1"/>
  <c r="V65" i="1"/>
  <c r="V41" i="1"/>
  <c r="V120" i="1"/>
  <c r="V72" i="1"/>
  <c r="V48" i="1"/>
  <c r="V21" i="1"/>
  <c r="V20" i="1"/>
  <c r="V18" i="1"/>
  <c r="V17" i="1"/>
  <c r="V16" i="1"/>
  <c r="V14" i="1"/>
  <c r="V13" i="1"/>
  <c r="V11" i="1"/>
  <c r="V10" i="1"/>
  <c r="V9" i="1"/>
  <c r="V6" i="1"/>
  <c r="V5" i="1"/>
  <c r="V137" i="1"/>
  <c r="V113" i="1"/>
  <c r="V89" i="1"/>
  <c r="V86" i="1"/>
  <c r="V158" i="1"/>
  <c r="V134" i="1"/>
  <c r="V110" i="1"/>
  <c r="V62" i="1"/>
  <c r="V121" i="1"/>
  <c r="V153" i="1"/>
  <c r="V129" i="1"/>
  <c r="V105" i="1"/>
  <c r="V81" i="1"/>
  <c r="V57" i="1"/>
  <c r="V33" i="1"/>
  <c r="V73" i="1"/>
  <c r="V150" i="1"/>
  <c r="V126" i="1"/>
  <c r="V102" i="1"/>
  <c r="V78" i="1"/>
  <c r="V54" i="1"/>
  <c r="V30" i="1"/>
  <c r="V145" i="1"/>
  <c r="V49" i="1"/>
  <c r="V97" i="1"/>
  <c r="V37" i="1"/>
  <c r="V84" i="1"/>
  <c r="V108" i="1"/>
  <c r="V36" i="1"/>
  <c r="V133" i="1"/>
  <c r="V156" i="1"/>
  <c r="V60" i="1"/>
  <c r="V157" i="1"/>
  <c r="V109" i="1"/>
  <c r="V85" i="1"/>
  <c r="V61" i="1"/>
  <c r="V132" i="1"/>
  <c r="V111" i="1"/>
  <c r="V38" i="1"/>
  <c r="V144" i="1"/>
  <c r="V96" i="1"/>
  <c r="V24" i="1"/>
  <c r="V152" i="1"/>
  <c r="V128" i="1"/>
  <c r="V104" i="1"/>
  <c r="V80" i="1"/>
  <c r="V56" i="1"/>
  <c r="V32" i="1"/>
  <c r="V151" i="1"/>
  <c r="V127" i="1"/>
  <c r="V103" i="1"/>
  <c r="V79" i="1"/>
  <c r="V55" i="1"/>
  <c r="V31" i="1"/>
  <c r="V148" i="1"/>
  <c r="V124" i="1"/>
  <c r="V100" i="1"/>
  <c r="V76" i="1"/>
  <c r="V52" i="1"/>
  <c r="V28" i="1"/>
  <c r="V147" i="1"/>
  <c r="V123" i="1"/>
  <c r="V99" i="1"/>
  <c r="V75" i="1"/>
  <c r="V51" i="1"/>
  <c r="V27" i="1"/>
  <c r="V146" i="1"/>
  <c r="V122" i="1"/>
  <c r="V98" i="1"/>
  <c r="V74" i="1"/>
  <c r="V50" i="1"/>
  <c r="V26" i="1"/>
  <c r="V25" i="1"/>
  <c r="V139" i="1"/>
  <c r="V115" i="1"/>
  <c r="V91" i="1"/>
  <c r="V67" i="1"/>
  <c r="V43" i="1"/>
  <c r="V138" i="1"/>
  <c r="V114" i="1"/>
  <c r="V90" i="1"/>
  <c r="V66" i="1"/>
  <c r="V42" i="1"/>
  <c r="V136" i="1"/>
  <c r="V112" i="1"/>
  <c r="V88" i="1"/>
  <c r="V64" i="1"/>
  <c r="V40" i="1"/>
  <c r="V23" i="1"/>
  <c r="V142" i="1"/>
  <c r="V70" i="1"/>
  <c r="V141" i="1"/>
  <c r="V45" i="1"/>
  <c r="V140" i="1"/>
  <c r="V68" i="1"/>
  <c r="V119" i="1"/>
  <c r="V47" i="1"/>
  <c r="V118" i="1"/>
  <c r="V22" i="1"/>
  <c r="V93" i="1"/>
  <c r="V116" i="1"/>
  <c r="V44" i="1"/>
  <c r="V149" i="1"/>
  <c r="V125" i="1"/>
  <c r="V101" i="1"/>
  <c r="V77" i="1"/>
  <c r="V53" i="1"/>
  <c r="V29" i="1"/>
  <c r="V95" i="1"/>
  <c r="V46" i="1"/>
  <c r="V71" i="1"/>
  <c r="V94" i="1"/>
  <c r="V69" i="1"/>
  <c r="V143" i="1"/>
  <c r="V92" i="1"/>
  <c r="V155" i="1"/>
  <c r="V131" i="1"/>
  <c r="V107" i="1"/>
  <c r="V83" i="1"/>
  <c r="V59" i="1"/>
  <c r="V35" i="1"/>
  <c r="V117" i="1"/>
  <c r="V154" i="1"/>
  <c r="V130" i="1"/>
  <c r="V106" i="1"/>
  <c r="V82" i="1"/>
  <c r="V58" i="1"/>
  <c r="V34" i="1"/>
</calcChain>
</file>

<file path=xl/sharedStrings.xml><?xml version="1.0" encoding="utf-8"?>
<sst xmlns="http://schemas.openxmlformats.org/spreadsheetml/2006/main" count="2439" uniqueCount="365">
  <si>
    <t>Target</t>
  </si>
  <si>
    <t xml:space="preserve">Realisasi </t>
  </si>
  <si>
    <t>Tidak Didata</t>
  </si>
  <si>
    <t>Assignment Eligible</t>
  </si>
  <si>
    <t>Assignment Didata</t>
  </si>
  <si>
    <t>No.</t>
  </si>
  <si>
    <t>Nama Petugas</t>
  </si>
  <si>
    <t>Email Petugas</t>
  </si>
  <si>
    <t>Jabatan</t>
  </si>
  <si>
    <t>nama_kec</t>
  </si>
  <si>
    <t>Keluarga</t>
  </si>
  <si>
    <t>Usaha</t>
  </si>
  <si>
    <t>Jumlah</t>
  </si>
  <si>
    <t>Aditya Christovel Hangau</t>
  </si>
  <si>
    <t>adityahangau@gmail.com</t>
  </si>
  <si>
    <t>PCL</t>
  </si>
  <si>
    <t>(090) TAHUNA</t>
  </si>
  <si>
    <t>Adriano Arga Takahopekang</t>
  </si>
  <si>
    <t>adrianoargatakahopekang@gmail.com</t>
  </si>
  <si>
    <t>Ahmad Risandi Karim</t>
  </si>
  <si>
    <t>ahmadrisandikarim@gmail.com</t>
  </si>
  <si>
    <t>(101) NUSA TABUKAN</t>
  </si>
  <si>
    <t>Alfred Jonathan</t>
  </si>
  <si>
    <t>alfredjonathan1986@gmail.com</t>
  </si>
  <si>
    <t>Alfrets Getah</t>
  </si>
  <si>
    <t>alfred86354@gmail.com</t>
  </si>
  <si>
    <t>(061) TABUKAN SELATAN TENGAH</t>
  </si>
  <si>
    <t>Allan Christovel Sapeti</t>
  </si>
  <si>
    <t>allansapeti33@gmail.com</t>
  </si>
  <si>
    <t>(070) TABUKAN TENGAH</t>
  </si>
  <si>
    <t>Ambrosius Tampi Tangkabiringan</t>
  </si>
  <si>
    <t>tangkabiringanayen70@gmail.com</t>
  </si>
  <si>
    <t>Amels Wisye Margareth Sasauw</t>
  </si>
  <si>
    <t>amelssasauw138@gmail.com</t>
  </si>
  <si>
    <t>(080) MANGANITU</t>
  </si>
  <si>
    <t>Amna Maneking</t>
  </si>
  <si>
    <t>amnamaneking@gmail.com</t>
  </si>
  <si>
    <t>(100) TABUKAN UTARA</t>
  </si>
  <si>
    <t>Anace Diamanis</t>
  </si>
  <si>
    <t>anacediamanis@gmail.com</t>
  </si>
  <si>
    <t>Andini Safitri Makaminan</t>
  </si>
  <si>
    <t>andinimakaminan98@gmail.com</t>
  </si>
  <si>
    <t>Ardi Brian Silas Saul</t>
  </si>
  <si>
    <t>brayenabssaul@gmail.com</t>
  </si>
  <si>
    <t>Arfando Pieter Tampilang</t>
  </si>
  <si>
    <t>pietertampilang@gmail.com</t>
  </si>
  <si>
    <t>Arianti Adahati</t>
  </si>
  <si>
    <t>ariantiadahati05@gmail.com</t>
  </si>
  <si>
    <t>(091) TAHUNA TIMUR</t>
  </si>
  <si>
    <t>Asari Prisilia Antari</t>
  </si>
  <si>
    <t>asaripantari@gmail.com</t>
  </si>
  <si>
    <t>(050) TAMAKO</t>
  </si>
  <si>
    <t>Asyer Claudio Maralending</t>
  </si>
  <si>
    <t>asyermaralending@gmail.com</t>
  </si>
  <si>
    <t>Avricilya Ester Rangian</t>
  </si>
  <si>
    <t>esterrangian@gmail.com</t>
  </si>
  <si>
    <t>Ayu Lestari Areros</t>
  </si>
  <si>
    <t>ayuareros714@gmail.com</t>
  </si>
  <si>
    <t>(040) MANGANITU SELATAN</t>
  </si>
  <si>
    <t>B. Lenskar Diamanis</t>
  </si>
  <si>
    <t>lenskardiamaniz@gmail.com</t>
  </si>
  <si>
    <t>PML</t>
  </si>
  <si>
    <t>Bayu Sutiyono Dujoh</t>
  </si>
  <si>
    <t>bayuduyoh998@gmail.com</t>
  </si>
  <si>
    <t>Billy Amstrong Tempolenehe</t>
  </si>
  <si>
    <t>billytempolenehe@gmail.com</t>
  </si>
  <si>
    <t>Cevin Sander Zon Makapedua</t>
  </si>
  <si>
    <t>cevinmakapedua926@gmail.com</t>
  </si>
  <si>
    <t>(060) TABUKAN SELATAN</t>
  </si>
  <si>
    <t>Charly Angel Tatontos</t>
  </si>
  <si>
    <t>tatontoscharly@gmail.com</t>
  </si>
  <si>
    <t>Christian Megawe</t>
  </si>
  <si>
    <t>megawechristian@gmail.com</t>
  </si>
  <si>
    <t>Christianto Harilama</t>
  </si>
  <si>
    <t>harilamachris23@gmail.com</t>
  </si>
  <si>
    <t>Clara Patricia Pangandaheng</t>
  </si>
  <si>
    <t>pangandahengclara11@gmail.com</t>
  </si>
  <si>
    <t>Claudia Angelia Adam</t>
  </si>
  <si>
    <t>adamclaudia06@gmail.com</t>
  </si>
  <si>
    <t>Dayan Abdullah</t>
  </si>
  <si>
    <t>dayan.abdullah86@gmail.com</t>
  </si>
  <si>
    <t>Deisye Reine Budiman</t>
  </si>
  <si>
    <t>deisyebudiman549@gmail.com</t>
  </si>
  <si>
    <t>Derlan Malawere</t>
  </si>
  <si>
    <t>derlanmalawere92@gmail.com</t>
  </si>
  <si>
    <t>(100) TABUKAN UTARA &amp; (102) KEPULAUAN MARORE</t>
  </si>
  <si>
    <t>Dince Lahaube</t>
  </si>
  <si>
    <t>dincelahaube09@gmail.com</t>
  </si>
  <si>
    <t>(041) TATOARENG</t>
  </si>
  <si>
    <t>Don Albert Seimahuira</t>
  </si>
  <si>
    <t>ungkealbert39@gmail.com</t>
  </si>
  <si>
    <t>Eka Saputri Rusmain</t>
  </si>
  <si>
    <t>puteka038@gmail.com</t>
  </si>
  <si>
    <t>(110) KENDAHE</t>
  </si>
  <si>
    <t>Elan Chrisye Ansar</t>
  </si>
  <si>
    <t>ellan87ansar@gmail.com</t>
  </si>
  <si>
    <t>(061) TABUKAN SELATAN TENGAH &amp; (062) TABUKAN SELATAN TENGGARA</t>
  </si>
  <si>
    <t>Erin Fernanda Wenas</t>
  </si>
  <si>
    <t>wenaserin@gmail.com</t>
  </si>
  <si>
    <t>Eugenia Ariani Tamakaenge</t>
  </si>
  <si>
    <t>eugeniaarianit@gmail.com</t>
  </si>
  <si>
    <t>(092) TAHUNA BARAT</t>
  </si>
  <si>
    <t>Evita Beatrix Nanlohy</t>
  </si>
  <si>
    <t>evitananlohy29@gmail.com</t>
  </si>
  <si>
    <t>Fadli Samalam</t>
  </si>
  <si>
    <t>fadlysamalam052@gmail.com</t>
  </si>
  <si>
    <t>Ferdinand Tangkabiringan</t>
  </si>
  <si>
    <t>ferdinandtangkabiringan@gmail.com</t>
  </si>
  <si>
    <t>Fernando Bielly Sindua</t>
  </si>
  <si>
    <t>biellysindua@gmail.com</t>
  </si>
  <si>
    <t>Feybe Ayuninsi Patandra</t>
  </si>
  <si>
    <t>patandrafeybeayuninsi@gmail.com</t>
  </si>
  <si>
    <t>Fiane Greti Mansauda</t>
  </si>
  <si>
    <t>fianemansauda89@gmail.com</t>
  </si>
  <si>
    <t>Fiona F. Adrian</t>
  </si>
  <si>
    <t>fionafinki@gmail.com</t>
  </si>
  <si>
    <t>Fitria Rianti Gorosita</t>
  </si>
  <si>
    <t>fitriagorosita19@gmail.com</t>
  </si>
  <si>
    <t>Fitriani Mandalurang</t>
  </si>
  <si>
    <t>fifimendalurang@gmail.com</t>
  </si>
  <si>
    <t>Fitrianti Tadete</t>
  </si>
  <si>
    <t>fitriantitadete68@gmail.com</t>
  </si>
  <si>
    <t>Fransiska Paolin Tumbale</t>
  </si>
  <si>
    <t>fransiskapaolin@gmail.com</t>
  </si>
  <si>
    <t>Fresly Jeica Manangkoda</t>
  </si>
  <si>
    <t>fmanangkoda12@gmail.com</t>
  </si>
  <si>
    <t>Frezcilia Dewi Daleda</t>
  </si>
  <si>
    <t>frzfrz130293@gmail.com</t>
  </si>
  <si>
    <t>Geno Pepa Paraso</t>
  </si>
  <si>
    <t>ghenovhepaparaso@gmail.com</t>
  </si>
  <si>
    <t>George Muler Sasiang</t>
  </si>
  <si>
    <t>georgemulersasiangsasiang@gmail.com</t>
  </si>
  <si>
    <t>Geovani Marchiano Monok</t>
  </si>
  <si>
    <t>geovanimonok34@gmail.com</t>
  </si>
  <si>
    <t>Glenn Christi Palembang</t>
  </si>
  <si>
    <t>palembangglenn@gmail.com</t>
  </si>
  <si>
    <t>Grace Dorongpangalo</t>
  </si>
  <si>
    <t>gracedorongpangalo11@gmail.com</t>
  </si>
  <si>
    <t>Grees Pangandaheng</t>
  </si>
  <si>
    <t>greispangandaheng@gmail.com</t>
  </si>
  <si>
    <t>Hasrita Hamenda</t>
  </si>
  <si>
    <t>hamendahasrita@gmail.com</t>
  </si>
  <si>
    <t>Hastuti Manabung</t>
  </si>
  <si>
    <t>hmanabung01@gmail.com</t>
  </si>
  <si>
    <t>Iramaya Sasiang</t>
  </si>
  <si>
    <t>sasiangmaya80@gmail.com</t>
  </si>
  <si>
    <t>(102) KEPULAUAN MARORE</t>
  </si>
  <si>
    <t>Ivan Christian Sasenga</t>
  </si>
  <si>
    <t>sasengaivan@gmail.com</t>
  </si>
  <si>
    <t>Ivonne Lariunaung</t>
  </si>
  <si>
    <t>vonnelariunaung77560@gmail.com</t>
  </si>
  <si>
    <t>Jeferson Manahampi</t>
  </si>
  <si>
    <t>manahampijeferson94@gmail.com</t>
  </si>
  <si>
    <t>Jeisy Dolongseda</t>
  </si>
  <si>
    <t>dolongsedajeisyprechilya@gmail.com</t>
  </si>
  <si>
    <t>Jekir Venkil Dompas</t>
  </si>
  <si>
    <t>jekirvenkildompas@gmail.com</t>
  </si>
  <si>
    <t>(060) TABUKAN SELATAN &amp; (070) TABUKAN TENGAH</t>
  </si>
  <si>
    <t>Jeklen Malage Dalita</t>
  </si>
  <si>
    <t>jeklendalita158@gmail.com</t>
  </si>
  <si>
    <t>Jeklin Andris</t>
  </si>
  <si>
    <t>jeklinandris98@gmail.com</t>
  </si>
  <si>
    <t>Jenie Oktavin Rahmawati Monok</t>
  </si>
  <si>
    <t>jeniemonok7@gmail.com</t>
  </si>
  <si>
    <t>Jessica Juanita Lombontari</t>
  </si>
  <si>
    <t>chikaaalombontari@gmail.com</t>
  </si>
  <si>
    <t>Johny Steven Manoppo</t>
  </si>
  <si>
    <t>stevenmanoppo36@gmail.com</t>
  </si>
  <si>
    <t>Juanric Eben Misarios Rakinaung</t>
  </si>
  <si>
    <t>juanricrakinaung@gmail.com</t>
  </si>
  <si>
    <t>Juldrike Tuwohingide</t>
  </si>
  <si>
    <t>juldriketuwohingide@gmail.com</t>
  </si>
  <si>
    <t>Julianty Thesa Takaredase</t>
  </si>
  <si>
    <t>echaatakaredase@gmail.com</t>
  </si>
  <si>
    <t>Junisye Ignes Boham</t>
  </si>
  <si>
    <t>nisyeignes@gmail.com</t>
  </si>
  <si>
    <t>Kesya Syalomita Pangeke</t>
  </si>
  <si>
    <t>kesyapangeke@gmail.com</t>
  </si>
  <si>
    <t>Kezia Maralending</t>
  </si>
  <si>
    <t>kmaralending@gmail.com</t>
  </si>
  <si>
    <t>Kristia Mirnawati Tumpias</t>
  </si>
  <si>
    <t>tumpiask@gmail.com</t>
  </si>
  <si>
    <t>Leonardo Rio Patras</t>
  </si>
  <si>
    <t>opopatras41@gmail.com</t>
  </si>
  <si>
    <t>Linda Yunice Amal</t>
  </si>
  <si>
    <t>lindaamal24@gmail.com</t>
  </si>
  <si>
    <t>Mabelkhan Ladorang</t>
  </si>
  <si>
    <t>mabelkhanladorang777@gmail.com</t>
  </si>
  <si>
    <t>Maknany Sasiang</t>
  </si>
  <si>
    <t>maknany.sasiang@gmail.com</t>
  </si>
  <si>
    <t>Marisye Silpia Limpong</t>
  </si>
  <si>
    <t>marisyelimpong@gmail.com</t>
  </si>
  <si>
    <t>Marwesley Iverson Matheos</t>
  </si>
  <si>
    <t>matheosmarwesley@gmail.com</t>
  </si>
  <si>
    <t>Meisye Fransiska Samau</t>
  </si>
  <si>
    <t>meisyesamau32@gmail.com</t>
  </si>
  <si>
    <t>Meisye Miranti Salendeho</t>
  </si>
  <si>
    <t>meisyemirantisalendeho@gmail.com</t>
  </si>
  <si>
    <t>Merry Christiani Lano</t>
  </si>
  <si>
    <t>lanomerrych@gmail.com</t>
  </si>
  <si>
    <t>Mery Grace Anabelia Kantohe</t>
  </si>
  <si>
    <t>merykantohe979@gmail.com</t>
  </si>
  <si>
    <t>Meychindy Riane Takaheghesang</t>
  </si>
  <si>
    <t>chindytakaheghesang22@gmail.com</t>
  </si>
  <si>
    <t>Meyilandriane Herung</t>
  </si>
  <si>
    <t>meylandriane1@gmail.com</t>
  </si>
  <si>
    <t>Misye Yosevin Pulumbara</t>
  </si>
  <si>
    <t>misye310580@gmail.com</t>
  </si>
  <si>
    <t>Muhamad Fadly Djafar</t>
  </si>
  <si>
    <t>tentangsangihe@gmail.com</t>
  </si>
  <si>
    <t>Muvidah Kaehe</t>
  </si>
  <si>
    <t>kaehemuvidah@gmail.com</t>
  </si>
  <si>
    <t>Nalla Aulya Ponto</t>
  </si>
  <si>
    <t>nallaaulya27@gmail.com</t>
  </si>
  <si>
    <t>Nefi Anet Wawanda</t>
  </si>
  <si>
    <t>nefiwawanda11@gmail.com</t>
  </si>
  <si>
    <t>Nevivania Liopenne Kakauhe</t>
  </si>
  <si>
    <t>nialiokakauhe16@gmail.com</t>
  </si>
  <si>
    <t>Nicky Jacson Taidi</t>
  </si>
  <si>
    <t>nickytaidi1986@gmail.com</t>
  </si>
  <si>
    <t>Ningsi Karendehi</t>
  </si>
  <si>
    <t>ningsikarendehi968@gmail.com</t>
  </si>
  <si>
    <t>Nofri Markus Taidi</t>
  </si>
  <si>
    <t>nofritaidi@gmail.com</t>
  </si>
  <si>
    <t>Nolvi Sanggel</t>
  </si>
  <si>
    <t>nolvisanggel76@gmail.com</t>
  </si>
  <si>
    <t>Novatania Makagansa</t>
  </si>
  <si>
    <t>makagansanova@gmail.com</t>
  </si>
  <si>
    <t>Novdein Arif Bongkitang</t>
  </si>
  <si>
    <t>novdeinarifbongkitang@gmail.com</t>
  </si>
  <si>
    <t>(050) TAMAKO &amp; (080) MANGANITU</t>
  </si>
  <si>
    <t>Novianty Key</t>
  </si>
  <si>
    <t>noviantykey5@gmail.com</t>
  </si>
  <si>
    <t>Novrilley Richard Mumu</t>
  </si>
  <si>
    <t>novrilleymumu11@gmail.com</t>
  </si>
  <si>
    <t>Nur Alifah Kasilialang</t>
  </si>
  <si>
    <t>kasilialangnuralifah@gmail.com</t>
  </si>
  <si>
    <t>Nurhayati Mangentiku</t>
  </si>
  <si>
    <t>nurhayatimangentiku1992@gmail.com</t>
  </si>
  <si>
    <t>Oktavianti Tangkabiringan</t>
  </si>
  <si>
    <t>tangkabiringananti@gmail.com</t>
  </si>
  <si>
    <t>Olfira Sicilia Budiman</t>
  </si>
  <si>
    <t>olfirabudiman@gmail.com</t>
  </si>
  <si>
    <t>Priskila Bawotong</t>
  </si>
  <si>
    <t>priskilabawotong@gmail.com</t>
  </si>
  <si>
    <t>Puteri Teratai Timuhingide</t>
  </si>
  <si>
    <t>07pupit@gmail.com</t>
  </si>
  <si>
    <t>Rachmawati Kampi</t>
  </si>
  <si>
    <t>tikamustika1704@gmail.com</t>
  </si>
  <si>
    <t>Ratna Sari Tumuwe</t>
  </si>
  <si>
    <t>ratnatumuwe41@gmail.com</t>
  </si>
  <si>
    <t>Regina Kesya Dumumpe</t>
  </si>
  <si>
    <t>moginsya32@gmail.com</t>
  </si>
  <si>
    <t>Regina Mahoro</t>
  </si>
  <si>
    <t>reginamahoro0@gmail.com</t>
  </si>
  <si>
    <t>Rendy Julio Bangonang</t>
  </si>
  <si>
    <t>rendybangonang@gmail.com</t>
  </si>
  <si>
    <t>Ritmawati Siliwire</t>
  </si>
  <si>
    <t>ritmawatisiliwire03@gmail.com</t>
  </si>
  <si>
    <t>Roberto Lahapo</t>
  </si>
  <si>
    <t>robertolahapo@gmail.com</t>
  </si>
  <si>
    <t>Rofia Pandawa</t>
  </si>
  <si>
    <t>fiapandawa339@gmail.com</t>
  </si>
  <si>
    <t>Rubiani Mamuka</t>
  </si>
  <si>
    <t>mamukarubiany1990@gmail.com</t>
  </si>
  <si>
    <t>Ruslan Ginoga</t>
  </si>
  <si>
    <t>ruslanginoga82@gmail.com</t>
  </si>
  <si>
    <t>Sandy Anggriawan Makangiras</t>
  </si>
  <si>
    <t>anggriawanndyras@gmail.com</t>
  </si>
  <si>
    <t>Satrio Prasetya Braid Dalantang</t>
  </si>
  <si>
    <t>satrioopbd@gmail.com</t>
  </si>
  <si>
    <t>Septian Gilbert Wuisan</t>
  </si>
  <si>
    <t>septianglbrtw97@gmail.com</t>
  </si>
  <si>
    <t>Septian Sulaiman</t>
  </si>
  <si>
    <t>tianfirnanda16@gmail.com</t>
  </si>
  <si>
    <t>Sheryl Jessica Tatontos</t>
  </si>
  <si>
    <t>sheryljessica01@gmail.com</t>
  </si>
  <si>
    <t>Sigfried Erik Hontong</t>
  </si>
  <si>
    <t>eriksigfried@gmail.com</t>
  </si>
  <si>
    <t>Simson Petiunaung</t>
  </si>
  <si>
    <t>simsonpetiunaung@gmail.com</t>
  </si>
  <si>
    <t>Sintike Susanti Meling Horman</t>
  </si>
  <si>
    <t>hshyntike@gmail.com</t>
  </si>
  <si>
    <t>Siti Maryam Madonsa</t>
  </si>
  <si>
    <t>sitimadonsa5@gmail.com</t>
  </si>
  <si>
    <t>Siti Nurhayati Igirisa</t>
  </si>
  <si>
    <t>igirisatia5@gmail.com</t>
  </si>
  <si>
    <t>Sry Ayu Permatasari Tamamile Manake</t>
  </si>
  <si>
    <t>sriayutamamile@gmail.com</t>
  </si>
  <si>
    <t>Stevanus Francois Mangeghong</t>
  </si>
  <si>
    <t>stivfrancois@gmail.com</t>
  </si>
  <si>
    <t>Sulastri Bawenti</t>
  </si>
  <si>
    <t>sulastribwnti@gmail.com</t>
  </si>
  <si>
    <t>Sunardi Tamado</t>
  </si>
  <si>
    <t>sunarditamado2@gmail.com</t>
  </si>
  <si>
    <t>Suryaningsi Dorthea Lalompoh</t>
  </si>
  <si>
    <t>indrydorthea@gmail.com</t>
  </si>
  <si>
    <t>Sutrisno Sariang</t>
  </si>
  <si>
    <t>sutrisnosariang90@gmail.com</t>
  </si>
  <si>
    <t>(100) TABUKAN UTARA &amp; (101) NUSA TABUKAN</t>
  </si>
  <si>
    <t>Svidania Kundiman</t>
  </si>
  <si>
    <t>spidaniakundimang@gmail.com</t>
  </si>
  <si>
    <t>Syamsia Makaminan</t>
  </si>
  <si>
    <t>makaminansia79@gmail.com</t>
  </si>
  <si>
    <t>Tia Ivanca Christy Pangandaheng</t>
  </si>
  <si>
    <t>pngndhngtia@gmail.com</t>
  </si>
  <si>
    <t>Titien Kurniawati Lamorahan</t>
  </si>
  <si>
    <t>lamorahantitien@gmail.com</t>
  </si>
  <si>
    <t>Vania Gavrila Lakada</t>
  </si>
  <si>
    <t>nialakada18@gmail.com</t>
  </si>
  <si>
    <t>Vera Angelita Tangkabiringan</t>
  </si>
  <si>
    <t>eiya.angelita@gmail.com</t>
  </si>
  <si>
    <t>Verawati Cristy Lolaroh</t>
  </si>
  <si>
    <t>verawaticristylolaroh02@gmail.com</t>
  </si>
  <si>
    <t>Veronika Saletia</t>
  </si>
  <si>
    <t>saletiaveronika@gmail.com</t>
  </si>
  <si>
    <t>Virchow Keynes Sahabat</t>
  </si>
  <si>
    <t>keynessahabat@gmail.com</t>
  </si>
  <si>
    <t>Voni Fience Sarah Dien</t>
  </si>
  <si>
    <t>dienvoni@gmail.com</t>
  </si>
  <si>
    <t>Wahyudi Hapit</t>
  </si>
  <si>
    <t>hapitudhy@gmail.com</t>
  </si>
  <si>
    <t>Winda Metia</t>
  </si>
  <si>
    <t>windametia67@gmail.com</t>
  </si>
  <si>
    <t>Yan Fredrik Wellian Padang</t>
  </si>
  <si>
    <t>yanfwpadang84@gmail.com</t>
  </si>
  <si>
    <t>Yesika Angelin Guwaunaung</t>
  </si>
  <si>
    <t>angelinguwaunaung@gmail.com</t>
  </si>
  <si>
    <t>Yohana Sapar</t>
  </si>
  <si>
    <t>saparyohana@gmail.com</t>
  </si>
  <si>
    <t>Yosias Budiman Monok</t>
  </si>
  <si>
    <t>josias.monok@gmail.com</t>
  </si>
  <si>
    <t>Yosua Bawembang</t>
  </si>
  <si>
    <t>ybawembang@gmail.com</t>
  </si>
  <si>
    <t>Yudhistira Prasetya Tangkabiringan</t>
  </si>
  <si>
    <t>yudhistiratangkabiringan@gmail.com</t>
  </si>
  <si>
    <t>Yulianti Manambe</t>
  </si>
  <si>
    <t>anthymanambe8@gmail.com</t>
  </si>
  <si>
    <t>Yustin Durian</t>
  </si>
  <si>
    <t>yustindurian@gmail.com</t>
  </si>
  <si>
    <t>NaN</t>
  </si>
  <si>
    <t>Baru</t>
  </si>
  <si>
    <t>Selisih</t>
  </si>
  <si>
    <t>Status Muatan Pendataan</t>
  </si>
  <si>
    <t>Keluarga + Usaha</t>
  </si>
  <si>
    <t>Prelist Dashboard</t>
  </si>
  <si>
    <t>Ditemukan</t>
  </si>
  <si>
    <t>Selisih Baru-Tidak Didata</t>
  </si>
  <si>
    <t>%Realisasi</t>
  </si>
  <si>
    <t>Prelist dikunjungi</t>
  </si>
  <si>
    <t>Prelit dikunjungi</t>
  </si>
  <si>
    <t>KEC. MANGANITU SELATAN</t>
  </si>
  <si>
    <t>KEC. TATOARENG</t>
  </si>
  <si>
    <t>KEC. TAMAKO</t>
  </si>
  <si>
    <t>KEC. TAMAKO DAN MANGANITU</t>
  </si>
  <si>
    <t>KEC. TABUKAN SELATAN</t>
  </si>
  <si>
    <t>KEC. TABUKAN SELATAN DAN TABUKAN TENGAH</t>
  </si>
  <si>
    <t>KEC. TABUKAN TENGAH</t>
  </si>
  <si>
    <t>KEC. TABUKAN SELATAN TENGAH</t>
  </si>
  <si>
    <t>KEC. TABUKAN SELATAN TENGAH DAN TABUKAN SELATAN TENGGARA</t>
  </si>
  <si>
    <t>KEC. MANGANITU</t>
  </si>
  <si>
    <t>KEC. TAHUNA</t>
  </si>
  <si>
    <t>KEC. TAHUNA TIMUR</t>
  </si>
  <si>
    <t>KEC. TAHUNA BARAT</t>
  </si>
  <si>
    <t>KEC. TABUKAN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</si>
</sst>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b/>
      <sz val="14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9" borderId="1" xfId="0" applyFont="1" applyFill="1" applyBorder="1" applyAlignment="1">
      <alignment horizontal="center" vertical="top"/>
    </xf>
    <xf numFmtId="0" fontId="4" fillId="10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3" fontId="0" fillId="11" borderId="1" xfId="0" applyNumberFormat="1" applyFill="1" applyBorder="1"/>
    <xf numFmtId="3" fontId="2" fillId="11" borderId="1" xfId="0" applyNumberFormat="1" applyFont="1" applyFill="1" applyBorder="1"/>
    <xf numFmtId="3" fontId="0" fillId="9" borderId="1" xfId="0" applyNumberFormat="1" applyFill="1" applyBorder="1"/>
    <xf numFmtId="3" fontId="2" fillId="9" borderId="1" xfId="0" applyNumberFormat="1" applyFont="1" applyFill="1" applyBorder="1"/>
    <xf numFmtId="3" fontId="0" fillId="10" borderId="1" xfId="0" applyNumberFormat="1" applyFill="1" applyBorder="1"/>
    <xf numFmtId="3" fontId="2" fillId="10" borderId="1" xfId="0" applyNumberFormat="1" applyFont="1" applyFill="1" applyBorder="1"/>
    <xf numFmtId="10" fontId="0" fillId="0" borderId="1" xfId="0" applyNumberFormat="1" applyBorder="1"/>
    <xf numFmtId="0" fontId="0" fillId="0" borderId="0" xfId="0" applyAlignment="1">
      <alignment horizontal="center"/>
    </xf>
    <xf numFmtId="3" fontId="0" fillId="9" borderId="1" xfId="0" applyNumberFormat="1" applyFill="1" applyBorder="1" applyAlignment="1">
      <alignment horizontal="center"/>
    </xf>
    <xf numFmtId="3" fontId="2" fillId="9" borderId="1" xfId="0" applyNumberFormat="1" applyFont="1" applyFill="1" applyBorder="1" applyAlignment="1">
      <alignment horizontal="center"/>
    </xf>
    <xf numFmtId="3" fontId="0" fillId="10" borderId="1" xfId="0" applyNumberFormat="1" applyFill="1" applyBorder="1" applyAlignment="1">
      <alignment horizontal="center"/>
    </xf>
    <xf numFmtId="3" fontId="2" fillId="10" borderId="1" xfId="0" applyNumberFormat="1" applyFont="1" applyFill="1" applyBorder="1" applyAlignment="1">
      <alignment horizontal="center"/>
    </xf>
    <xf numFmtId="3" fontId="0" fillId="8" borderId="1" xfId="0" applyNumberForma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1" fillId="12" borderId="4" xfId="0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0" fontId="0" fillId="9" borderId="1" xfId="0" applyNumberFormat="1" applyFill="1" applyBorder="1"/>
    <xf numFmtId="10" fontId="0" fillId="10" borderId="1" xfId="0" applyNumberFormat="1" applyFill="1" applyBorder="1"/>
    <xf numFmtId="0" fontId="5" fillId="0" borderId="0" xfId="0" applyFont="1"/>
    <xf numFmtId="3" fontId="0" fillId="14" borderId="1" xfId="0" applyNumberFormat="1" applyFill="1" applyBorder="1" applyAlignment="1">
      <alignment horizontal="center"/>
    </xf>
    <xf numFmtId="3" fontId="6" fillId="14" borderId="1" xfId="0" applyNumberFormat="1" applyFont="1" applyFill="1" applyBorder="1" applyAlignment="1">
      <alignment horizontal="center"/>
    </xf>
    <xf numFmtId="3" fontId="1" fillId="14" borderId="1" xfId="0" applyNumberFormat="1" applyFont="1" applyFill="1" applyBorder="1" applyAlignment="1">
      <alignment horizontal="center"/>
    </xf>
    <xf numFmtId="3" fontId="0" fillId="15" borderId="1" xfId="0" applyNumberFormat="1" applyFill="1" applyBorder="1" applyAlignment="1">
      <alignment horizontal="center"/>
    </xf>
    <xf numFmtId="3" fontId="2" fillId="15" borderId="1" xfId="0" applyNumberFormat="1" applyFont="1" applyFill="1" applyBorder="1" applyAlignment="1">
      <alignment horizontal="center"/>
    </xf>
    <xf numFmtId="3" fontId="1" fillId="16" borderId="1" xfId="0" applyNumberFormat="1" applyFont="1" applyFill="1" applyBorder="1" applyAlignment="1">
      <alignment horizontal="center"/>
    </xf>
    <xf numFmtId="3" fontId="6" fillId="16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1" fillId="0" borderId="0" xfId="0" applyNumberFormat="1" applyFont="1" applyFill="1" applyBorder="1" applyAlignment="1">
      <alignment horizontal="center"/>
    </xf>
    <xf numFmtId="3" fontId="0" fillId="9" borderId="1" xfId="0" applyNumberFormat="1" applyFont="1" applyFill="1" applyBorder="1" applyAlignment="1">
      <alignment horizontal="center"/>
    </xf>
    <xf numFmtId="0" fontId="0" fillId="15" borderId="1" xfId="0" applyFill="1" applyBorder="1"/>
    <xf numFmtId="0" fontId="5" fillId="0" borderId="1" xfId="0" applyFont="1" applyBorder="1"/>
    <xf numFmtId="3" fontId="1" fillId="16" borderId="0" xfId="0" applyNumberFormat="1" applyFont="1" applyFill="1" applyAlignment="1">
      <alignment horizontal="center"/>
    </xf>
    <xf numFmtId="3" fontId="1" fillId="14" borderId="0" xfId="0" applyNumberFormat="1" applyFont="1" applyFill="1" applyAlignment="1">
      <alignment horizontal="center"/>
    </xf>
    <xf numFmtId="0" fontId="5" fillId="0" borderId="5" xfId="0" applyFont="1" applyBorder="1"/>
    <xf numFmtId="0" fontId="0" fillId="0" borderId="0" xfId="0" applyBorder="1"/>
  </cellXfs>
  <cellStyles count="1">
    <cellStyle name="Normal" xfId="0" builtinId="0"/>
  </cellStyles>
  <dxfs count="6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8F7D-8015-475E-8308-4D39ADDC4FBC}">
  <sheetPr>
    <tabColor theme="5" tint="-0.249977111117893"/>
  </sheetPr>
  <dimension ref="A1:AH158"/>
  <sheetViews>
    <sheetView topLeftCell="L1" zoomScale="85" zoomScaleNormal="85" workbookViewId="0">
      <selection activeCell="R28" sqref="A28:XFD28"/>
    </sheetView>
  </sheetViews>
  <sheetFormatPr defaultRowHeight="14.5" x14ac:dyDescent="0.35"/>
  <cols>
    <col min="1" max="1" width="8.7265625" style="16"/>
    <col min="2" max="2" width="33.81640625" bestFit="1" customWidth="1"/>
    <col min="3" max="3" width="34.453125" customWidth="1"/>
    <col min="4" max="4" width="7.36328125" bestFit="1" customWidth="1"/>
    <col min="5" max="5" width="60.36328125" bestFit="1" customWidth="1"/>
    <col min="6" max="8" width="8.7265625" customWidth="1"/>
    <col min="9" max="11" width="11.81640625" style="16" customWidth="1"/>
    <col min="12" max="12" width="15.453125" style="16" bestFit="1" customWidth="1"/>
    <col min="13" max="13" width="21.81640625" style="16" bestFit="1" customWidth="1"/>
    <col min="14" max="16" width="11.81640625" style="16" customWidth="1"/>
    <col min="17" max="17" width="15.453125" style="16" bestFit="1" customWidth="1"/>
    <col min="18" max="18" width="21.81640625" style="16" bestFit="1" customWidth="1"/>
    <col min="19" max="19" width="14.6328125" style="16" bestFit="1" customWidth="1"/>
    <col min="20" max="22" width="11.81640625" style="16" customWidth="1"/>
    <col min="23" max="23" width="11.36328125" bestFit="1" customWidth="1"/>
    <col min="24" max="25" width="8.7265625" customWidth="1"/>
    <col min="26" max="26" width="11.36328125" bestFit="1" customWidth="1"/>
    <col min="27" max="28" width="8.7265625" customWidth="1"/>
    <col min="29" max="29" width="11.36328125" bestFit="1" customWidth="1"/>
    <col min="30" max="31" width="8.7265625" customWidth="1"/>
    <col min="32" max="32" width="11.36328125" bestFit="1" customWidth="1"/>
    <col min="33" max="34" width="8.7265625" customWidth="1"/>
  </cols>
  <sheetData>
    <row r="1" spans="1:34" x14ac:dyDescent="0.35">
      <c r="A1" s="1"/>
      <c r="B1" s="1"/>
      <c r="C1" s="1"/>
      <c r="D1" s="1"/>
      <c r="E1" s="1"/>
      <c r="F1" s="29" t="s">
        <v>0</v>
      </c>
      <c r="G1" s="30"/>
      <c r="H1" s="30"/>
      <c r="I1" s="31" t="s">
        <v>343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25" t="s">
        <v>1</v>
      </c>
      <c r="X1" s="25"/>
      <c r="Y1" s="25"/>
      <c r="Z1" s="25"/>
      <c r="AA1" s="25"/>
      <c r="AB1" s="25"/>
      <c r="AC1" s="34" t="s">
        <v>348</v>
      </c>
      <c r="AD1" s="34"/>
      <c r="AE1" s="34"/>
      <c r="AF1" s="34"/>
      <c r="AG1" s="34"/>
      <c r="AH1" s="34"/>
    </row>
    <row r="2" spans="1:34" x14ac:dyDescent="0.35">
      <c r="A2" s="1"/>
      <c r="B2" s="1"/>
      <c r="C2" s="1"/>
      <c r="D2" s="1"/>
      <c r="E2" s="1"/>
      <c r="F2" s="22" t="s">
        <v>345</v>
      </c>
      <c r="G2" s="22"/>
      <c r="H2" s="22"/>
      <c r="I2" s="23" t="s">
        <v>10</v>
      </c>
      <c r="J2" s="23"/>
      <c r="K2" s="23"/>
      <c r="L2" s="23"/>
      <c r="M2" s="23"/>
      <c r="N2" s="24" t="s">
        <v>11</v>
      </c>
      <c r="O2" s="24"/>
      <c r="P2" s="24"/>
      <c r="Q2" s="24"/>
      <c r="R2" s="24"/>
      <c r="S2" s="26" t="s">
        <v>344</v>
      </c>
      <c r="T2" s="27"/>
      <c r="U2" s="27"/>
      <c r="V2" s="28"/>
      <c r="W2" s="23" t="s">
        <v>3</v>
      </c>
      <c r="X2" s="23"/>
      <c r="Y2" s="23"/>
      <c r="Z2" s="24" t="s">
        <v>4</v>
      </c>
      <c r="AA2" s="24"/>
      <c r="AB2" s="24"/>
      <c r="AC2" s="23" t="s">
        <v>3</v>
      </c>
      <c r="AD2" s="23"/>
      <c r="AE2" s="23"/>
      <c r="AF2" s="24" t="s">
        <v>4</v>
      </c>
      <c r="AG2" s="24"/>
      <c r="AH2" s="24"/>
    </row>
    <row r="3" spans="1:34" x14ac:dyDescent="0.35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  <c r="G3" s="4" t="s">
        <v>11</v>
      </c>
      <c r="H3" s="4" t="s">
        <v>12</v>
      </c>
      <c r="I3" s="5" t="s">
        <v>346</v>
      </c>
      <c r="J3" s="5" t="s">
        <v>2</v>
      </c>
      <c r="K3" s="5" t="s">
        <v>341</v>
      </c>
      <c r="L3" s="5" t="s">
        <v>349</v>
      </c>
      <c r="M3" s="5" t="s">
        <v>347</v>
      </c>
      <c r="N3" s="6" t="s">
        <v>346</v>
      </c>
      <c r="O3" s="6" t="s">
        <v>2</v>
      </c>
      <c r="P3" s="6" t="s">
        <v>341</v>
      </c>
      <c r="Q3" s="6" t="s">
        <v>349</v>
      </c>
      <c r="R3" s="6" t="s">
        <v>347</v>
      </c>
      <c r="S3" s="7" t="s">
        <v>350</v>
      </c>
      <c r="T3" s="7" t="s">
        <v>2</v>
      </c>
      <c r="U3" s="7" t="s">
        <v>341</v>
      </c>
      <c r="V3" s="7" t="s">
        <v>342</v>
      </c>
      <c r="W3" s="5" t="s">
        <v>10</v>
      </c>
      <c r="X3" s="5" t="s">
        <v>11</v>
      </c>
      <c r="Y3" s="5" t="s">
        <v>12</v>
      </c>
      <c r="Z3" s="6" t="s">
        <v>10</v>
      </c>
      <c r="AA3" s="6" t="s">
        <v>11</v>
      </c>
      <c r="AB3" s="6" t="s">
        <v>12</v>
      </c>
      <c r="AC3" s="5" t="s">
        <v>10</v>
      </c>
      <c r="AD3" s="5" t="s">
        <v>11</v>
      </c>
      <c r="AE3" s="5" t="s">
        <v>12</v>
      </c>
      <c r="AF3" s="6" t="s">
        <v>10</v>
      </c>
      <c r="AG3" s="6" t="s">
        <v>11</v>
      </c>
      <c r="AH3" s="6" t="s">
        <v>12</v>
      </c>
    </row>
    <row r="4" spans="1:34" x14ac:dyDescent="0.35">
      <c r="A4" s="8">
        <v>1</v>
      </c>
      <c r="B4" s="1" t="s">
        <v>13</v>
      </c>
      <c r="C4" s="1" t="s">
        <v>14</v>
      </c>
      <c r="D4" s="1" t="s">
        <v>15</v>
      </c>
      <c r="E4" s="1" t="s">
        <v>16</v>
      </c>
      <c r="F4" s="9">
        <v>347</v>
      </c>
      <c r="G4" s="9">
        <v>39</v>
      </c>
      <c r="H4" s="10">
        <f>F4+G4</f>
        <v>386</v>
      </c>
      <c r="I4" s="17">
        <v>74</v>
      </c>
      <c r="J4" s="17">
        <v>78</v>
      </c>
      <c r="K4" s="17">
        <v>14</v>
      </c>
      <c r="L4" s="17">
        <f>I4+J4</f>
        <v>152</v>
      </c>
      <c r="M4" s="18">
        <f>K4-J4</f>
        <v>-64</v>
      </c>
      <c r="N4" s="19">
        <v>1</v>
      </c>
      <c r="O4" s="19">
        <v>17</v>
      </c>
      <c r="P4" s="19">
        <v>7</v>
      </c>
      <c r="Q4" s="19">
        <f>N4+O4</f>
        <v>18</v>
      </c>
      <c r="R4" s="20">
        <f>P4-O4</f>
        <v>-10</v>
      </c>
      <c r="S4" s="21">
        <f>L4+Q4</f>
        <v>170</v>
      </c>
      <c r="T4" s="21">
        <f>J4+O4</f>
        <v>95</v>
      </c>
      <c r="U4" s="21">
        <f>K4+P4</f>
        <v>21</v>
      </c>
      <c r="V4" s="21">
        <f>U4-S4</f>
        <v>-149</v>
      </c>
      <c r="W4" s="11">
        <f>I4+J4+K4</f>
        <v>166</v>
      </c>
      <c r="X4" s="11">
        <f>N4+O4+P4</f>
        <v>25</v>
      </c>
      <c r="Y4" s="12">
        <f>W4+X4</f>
        <v>191</v>
      </c>
      <c r="Z4" s="13">
        <f>I4+K4</f>
        <v>88</v>
      </c>
      <c r="AA4" s="13">
        <f>N4+P4</f>
        <v>8</v>
      </c>
      <c r="AB4" s="14">
        <f>Z4+AA4</f>
        <v>96</v>
      </c>
      <c r="AC4" s="35">
        <f>W4/F4</f>
        <v>0.47838616714697407</v>
      </c>
      <c r="AD4" s="35">
        <f>X4/G4</f>
        <v>0.64102564102564108</v>
      </c>
      <c r="AE4" s="15">
        <f>Y4/H4</f>
        <v>0.49481865284974091</v>
      </c>
      <c r="AF4" s="36">
        <f>Z4/F4</f>
        <v>0.25360230547550433</v>
      </c>
      <c r="AG4" s="36">
        <f>AA4/G4</f>
        <v>0.20512820512820512</v>
      </c>
      <c r="AH4" s="15">
        <f>AB4/H4</f>
        <v>0.24870466321243523</v>
      </c>
    </row>
    <row r="5" spans="1:34" x14ac:dyDescent="0.35">
      <c r="A5" s="8">
        <v>2</v>
      </c>
      <c r="B5" s="1" t="s">
        <v>17</v>
      </c>
      <c r="C5" s="1" t="s">
        <v>18</v>
      </c>
      <c r="D5" s="1" t="s">
        <v>15</v>
      </c>
      <c r="E5" s="1" t="s">
        <v>16</v>
      </c>
      <c r="F5" s="9">
        <v>321</v>
      </c>
      <c r="G5" s="9">
        <v>29</v>
      </c>
      <c r="H5" s="10">
        <f t="shared" ref="H5:H21" si="0">F5+G5</f>
        <v>350</v>
      </c>
      <c r="I5" s="17">
        <v>72</v>
      </c>
      <c r="J5" s="17">
        <v>61</v>
      </c>
      <c r="K5" s="17">
        <v>20</v>
      </c>
      <c r="L5" s="17">
        <f t="shared" ref="L5:L68" si="1">I5+J5</f>
        <v>133</v>
      </c>
      <c r="M5" s="18">
        <f t="shared" ref="M5:M68" si="2">K5-J5</f>
        <v>-41</v>
      </c>
      <c r="N5" s="19">
        <v>0</v>
      </c>
      <c r="O5" s="19">
        <v>6</v>
      </c>
      <c r="P5" s="19">
        <v>0</v>
      </c>
      <c r="Q5" s="19">
        <f t="shared" ref="Q5:Q68" si="3">N5+O5</f>
        <v>6</v>
      </c>
      <c r="R5" s="20">
        <f t="shared" ref="R5:R68" si="4">P5-O5</f>
        <v>-6</v>
      </c>
      <c r="S5" s="21">
        <f t="shared" ref="S5:S68" si="5">L5+Q5</f>
        <v>139</v>
      </c>
      <c r="T5" s="21">
        <f t="shared" ref="T5:T68" si="6">J5+O5</f>
        <v>67</v>
      </c>
      <c r="U5" s="21">
        <f>K5+P5</f>
        <v>20</v>
      </c>
      <c r="V5" s="21">
        <f t="shared" ref="V5:V21" si="7">U5-S5</f>
        <v>-119</v>
      </c>
      <c r="W5" s="11">
        <f>I5+J5+K5</f>
        <v>153</v>
      </c>
      <c r="X5" s="11">
        <f>N5+O5+P5</f>
        <v>6</v>
      </c>
      <c r="Y5" s="12">
        <f t="shared" ref="Y5:Y21" si="8">W5+X5</f>
        <v>159</v>
      </c>
      <c r="Z5" s="13">
        <f>I5+K5</f>
        <v>92</v>
      </c>
      <c r="AA5" s="13">
        <f>N5+P5</f>
        <v>0</v>
      </c>
      <c r="AB5" s="14">
        <f t="shared" ref="AB5:AB21" si="9">Z5+AA5</f>
        <v>92</v>
      </c>
      <c r="AC5" s="35">
        <f>W5/F5</f>
        <v>0.47663551401869159</v>
      </c>
      <c r="AD5" s="35">
        <f>X5/G5</f>
        <v>0.20689655172413793</v>
      </c>
      <c r="AE5" s="15">
        <f>Y5/H5</f>
        <v>0.45428571428571429</v>
      </c>
      <c r="AF5" s="36">
        <f>Z5/F5</f>
        <v>0.28660436137071649</v>
      </c>
      <c r="AG5" s="36">
        <f>AA5/G5</f>
        <v>0</v>
      </c>
      <c r="AH5" s="15">
        <f>AB5/H5</f>
        <v>0.26285714285714284</v>
      </c>
    </row>
    <row r="6" spans="1:34" x14ac:dyDescent="0.35">
      <c r="A6" s="8">
        <v>3</v>
      </c>
      <c r="B6" s="1" t="s">
        <v>19</v>
      </c>
      <c r="C6" s="1" t="s">
        <v>20</v>
      </c>
      <c r="D6" s="1" t="s">
        <v>15</v>
      </c>
      <c r="E6" s="1" t="s">
        <v>21</v>
      </c>
      <c r="F6" s="9">
        <v>308</v>
      </c>
      <c r="G6" s="9">
        <v>14</v>
      </c>
      <c r="H6" s="10">
        <f t="shared" si="0"/>
        <v>322</v>
      </c>
      <c r="I6" s="17">
        <v>188</v>
      </c>
      <c r="J6" s="17">
        <v>20</v>
      </c>
      <c r="K6" s="17">
        <v>21</v>
      </c>
      <c r="L6" s="17">
        <f t="shared" si="1"/>
        <v>208</v>
      </c>
      <c r="M6" s="18">
        <f t="shared" si="2"/>
        <v>1</v>
      </c>
      <c r="N6" s="19">
        <v>1</v>
      </c>
      <c r="O6" s="19">
        <v>3</v>
      </c>
      <c r="P6" s="19">
        <v>2</v>
      </c>
      <c r="Q6" s="19">
        <f t="shared" si="3"/>
        <v>4</v>
      </c>
      <c r="R6" s="20">
        <f t="shared" si="4"/>
        <v>-1</v>
      </c>
      <c r="S6" s="21">
        <f t="shared" si="5"/>
        <v>212</v>
      </c>
      <c r="T6" s="21">
        <f t="shared" si="6"/>
        <v>23</v>
      </c>
      <c r="U6" s="21">
        <f>K6+P6</f>
        <v>23</v>
      </c>
      <c r="V6" s="21">
        <f t="shared" si="7"/>
        <v>-189</v>
      </c>
      <c r="W6" s="11">
        <f>I6+J6+K6</f>
        <v>229</v>
      </c>
      <c r="X6" s="11">
        <f>N6+O6+P6</f>
        <v>6</v>
      </c>
      <c r="Y6" s="12">
        <f t="shared" si="8"/>
        <v>235</v>
      </c>
      <c r="Z6" s="13">
        <f>I6+K6</f>
        <v>209</v>
      </c>
      <c r="AA6" s="13">
        <f>N6+P6</f>
        <v>3</v>
      </c>
      <c r="AB6" s="14">
        <f t="shared" si="9"/>
        <v>212</v>
      </c>
      <c r="AC6" s="35">
        <f>W6/F6</f>
        <v>0.74350649350649356</v>
      </c>
      <c r="AD6" s="35">
        <f>X6/G6</f>
        <v>0.42857142857142855</v>
      </c>
      <c r="AE6" s="15">
        <f>Y6/H6</f>
        <v>0.72981366459627328</v>
      </c>
      <c r="AF6" s="36">
        <f>Z6/F6</f>
        <v>0.6785714285714286</v>
      </c>
      <c r="AG6" s="36">
        <f>AA6/G6</f>
        <v>0.21428571428571427</v>
      </c>
      <c r="AH6" s="15">
        <f>AB6/H6</f>
        <v>0.65838509316770188</v>
      </c>
    </row>
    <row r="7" spans="1:34" x14ac:dyDescent="0.35">
      <c r="A7" s="8">
        <v>4</v>
      </c>
      <c r="B7" s="1" t="s">
        <v>22</v>
      </c>
      <c r="C7" s="1" t="s">
        <v>23</v>
      </c>
      <c r="D7" s="1" t="s">
        <v>15</v>
      </c>
      <c r="E7" s="1" t="s">
        <v>21</v>
      </c>
      <c r="F7" s="9">
        <v>253</v>
      </c>
      <c r="G7" s="9">
        <v>17</v>
      </c>
      <c r="H7" s="10">
        <f t="shared" si="0"/>
        <v>270</v>
      </c>
      <c r="I7" s="17">
        <v>163</v>
      </c>
      <c r="J7" s="17">
        <v>26</v>
      </c>
      <c r="K7" s="17">
        <v>21</v>
      </c>
      <c r="L7" s="17">
        <f t="shared" si="1"/>
        <v>189</v>
      </c>
      <c r="M7" s="18">
        <f t="shared" si="2"/>
        <v>-5</v>
      </c>
      <c r="N7" s="19">
        <v>2</v>
      </c>
      <c r="O7" s="19">
        <v>10</v>
      </c>
      <c r="P7" s="19">
        <v>2</v>
      </c>
      <c r="Q7" s="19">
        <f t="shared" si="3"/>
        <v>12</v>
      </c>
      <c r="R7" s="20">
        <f t="shared" si="4"/>
        <v>-8</v>
      </c>
      <c r="S7" s="21">
        <f t="shared" si="5"/>
        <v>201</v>
      </c>
      <c r="T7" s="21">
        <f t="shared" si="6"/>
        <v>36</v>
      </c>
      <c r="U7" s="21">
        <f>K7+P7</f>
        <v>23</v>
      </c>
      <c r="V7" s="21">
        <f t="shared" si="7"/>
        <v>-178</v>
      </c>
      <c r="W7" s="11">
        <f>I7+J7+K7</f>
        <v>210</v>
      </c>
      <c r="X7" s="11">
        <f>N7+O7+P7</f>
        <v>14</v>
      </c>
      <c r="Y7" s="12">
        <f t="shared" si="8"/>
        <v>224</v>
      </c>
      <c r="Z7" s="13">
        <f>I7+K7</f>
        <v>184</v>
      </c>
      <c r="AA7" s="13">
        <f>N7+P7</f>
        <v>4</v>
      </c>
      <c r="AB7" s="14">
        <f t="shared" si="9"/>
        <v>188</v>
      </c>
      <c r="AC7" s="35">
        <f>W7/F7</f>
        <v>0.83003952569169959</v>
      </c>
      <c r="AD7" s="35">
        <f>X7/G7</f>
        <v>0.82352941176470584</v>
      </c>
      <c r="AE7" s="15">
        <f>Y7/H7</f>
        <v>0.82962962962962961</v>
      </c>
      <c r="AF7" s="36">
        <f>Z7/F7</f>
        <v>0.72727272727272729</v>
      </c>
      <c r="AG7" s="36">
        <f>AA7/G7</f>
        <v>0.23529411764705882</v>
      </c>
      <c r="AH7" s="15">
        <f>AB7/H7</f>
        <v>0.6962962962962963</v>
      </c>
    </row>
    <row r="8" spans="1:34" x14ac:dyDescent="0.35">
      <c r="A8" s="8">
        <v>5</v>
      </c>
      <c r="B8" s="1" t="s">
        <v>24</v>
      </c>
      <c r="C8" s="1" t="s">
        <v>25</v>
      </c>
      <c r="D8" s="1" t="s">
        <v>15</v>
      </c>
      <c r="E8" s="1" t="s">
        <v>26</v>
      </c>
      <c r="F8" s="9">
        <v>284</v>
      </c>
      <c r="G8" s="9">
        <v>15</v>
      </c>
      <c r="H8" s="10">
        <f t="shared" si="0"/>
        <v>299</v>
      </c>
      <c r="I8" s="17">
        <v>124</v>
      </c>
      <c r="J8" s="17">
        <v>16</v>
      </c>
      <c r="K8" s="17">
        <v>17</v>
      </c>
      <c r="L8" s="17">
        <f t="shared" si="1"/>
        <v>140</v>
      </c>
      <c r="M8" s="18">
        <f t="shared" si="2"/>
        <v>1</v>
      </c>
      <c r="N8" s="19">
        <v>1</v>
      </c>
      <c r="O8" s="19">
        <v>2</v>
      </c>
      <c r="P8" s="19">
        <v>3</v>
      </c>
      <c r="Q8" s="19">
        <f t="shared" si="3"/>
        <v>3</v>
      </c>
      <c r="R8" s="20">
        <f t="shared" si="4"/>
        <v>1</v>
      </c>
      <c r="S8" s="21">
        <f t="shared" si="5"/>
        <v>143</v>
      </c>
      <c r="T8" s="21">
        <f t="shared" si="6"/>
        <v>18</v>
      </c>
      <c r="U8" s="21">
        <f>K8+P8</f>
        <v>20</v>
      </c>
      <c r="V8" s="21">
        <f t="shared" si="7"/>
        <v>-123</v>
      </c>
      <c r="W8" s="11">
        <f>I8+J8+K8</f>
        <v>157</v>
      </c>
      <c r="X8" s="11">
        <f>N8+O8+P8</f>
        <v>6</v>
      </c>
      <c r="Y8" s="12">
        <f t="shared" si="8"/>
        <v>163</v>
      </c>
      <c r="Z8" s="13">
        <f>I8+K8</f>
        <v>141</v>
      </c>
      <c r="AA8" s="13">
        <f>N8+P8</f>
        <v>4</v>
      </c>
      <c r="AB8" s="14">
        <f t="shared" si="9"/>
        <v>145</v>
      </c>
      <c r="AC8" s="35">
        <f>W8/F8</f>
        <v>0.55281690140845074</v>
      </c>
      <c r="AD8" s="35">
        <f>X8/G8</f>
        <v>0.4</v>
      </c>
      <c r="AE8" s="15">
        <f>Y8/H8</f>
        <v>0.54515050167224077</v>
      </c>
      <c r="AF8" s="36">
        <f>Z8/F8</f>
        <v>0.49647887323943662</v>
      </c>
      <c r="AG8" s="36">
        <f>AA8/G8</f>
        <v>0.26666666666666666</v>
      </c>
      <c r="AH8" s="15">
        <f>AB8/H8</f>
        <v>0.48494983277591974</v>
      </c>
    </row>
    <row r="9" spans="1:34" x14ac:dyDescent="0.35">
      <c r="A9" s="8">
        <v>6</v>
      </c>
      <c r="B9" s="1" t="s">
        <v>27</v>
      </c>
      <c r="C9" s="1" t="s">
        <v>28</v>
      </c>
      <c r="D9" s="1" t="s">
        <v>15</v>
      </c>
      <c r="E9" s="1" t="s">
        <v>29</v>
      </c>
      <c r="F9" s="9">
        <v>297</v>
      </c>
      <c r="G9" s="9">
        <v>21</v>
      </c>
      <c r="H9" s="10">
        <f t="shared" si="0"/>
        <v>318</v>
      </c>
      <c r="I9" s="17">
        <v>102</v>
      </c>
      <c r="J9" s="17">
        <v>17</v>
      </c>
      <c r="K9" s="17">
        <v>29</v>
      </c>
      <c r="L9" s="17">
        <f t="shared" si="1"/>
        <v>119</v>
      </c>
      <c r="M9" s="18">
        <f t="shared" si="2"/>
        <v>12</v>
      </c>
      <c r="N9" s="19">
        <v>7</v>
      </c>
      <c r="O9" s="19">
        <v>3</v>
      </c>
      <c r="P9" s="19">
        <v>9</v>
      </c>
      <c r="Q9" s="19">
        <f t="shared" si="3"/>
        <v>10</v>
      </c>
      <c r="R9" s="20">
        <f t="shared" si="4"/>
        <v>6</v>
      </c>
      <c r="S9" s="21">
        <f t="shared" si="5"/>
        <v>129</v>
      </c>
      <c r="T9" s="21">
        <f t="shared" si="6"/>
        <v>20</v>
      </c>
      <c r="U9" s="21">
        <f>K9+P9</f>
        <v>38</v>
      </c>
      <c r="V9" s="21">
        <f t="shared" si="7"/>
        <v>-91</v>
      </c>
      <c r="W9" s="11">
        <f>I9+J9+K9</f>
        <v>148</v>
      </c>
      <c r="X9" s="11">
        <f>N9+O9+P9</f>
        <v>19</v>
      </c>
      <c r="Y9" s="12">
        <f t="shared" si="8"/>
        <v>167</v>
      </c>
      <c r="Z9" s="13">
        <f>I9+K9</f>
        <v>131</v>
      </c>
      <c r="AA9" s="13">
        <f>N9+P9</f>
        <v>16</v>
      </c>
      <c r="AB9" s="14">
        <f t="shared" si="9"/>
        <v>147</v>
      </c>
      <c r="AC9" s="35">
        <f>W9/F9</f>
        <v>0.49831649831649832</v>
      </c>
      <c r="AD9" s="35">
        <f>X9/G9</f>
        <v>0.90476190476190477</v>
      </c>
      <c r="AE9" s="15">
        <f>Y9/H9</f>
        <v>0.52515723270440251</v>
      </c>
      <c r="AF9" s="36">
        <f>Z9/F9</f>
        <v>0.44107744107744107</v>
      </c>
      <c r="AG9" s="36">
        <f>AA9/G9</f>
        <v>0.76190476190476186</v>
      </c>
      <c r="AH9" s="15">
        <f>AB9/H9</f>
        <v>0.46226415094339623</v>
      </c>
    </row>
    <row r="10" spans="1:34" x14ac:dyDescent="0.35">
      <c r="A10" s="8">
        <v>7</v>
      </c>
      <c r="B10" s="1" t="s">
        <v>30</v>
      </c>
      <c r="C10" s="1" t="s">
        <v>31</v>
      </c>
      <c r="D10" s="1" t="s">
        <v>15</v>
      </c>
      <c r="E10" s="1" t="s">
        <v>16</v>
      </c>
      <c r="F10" s="9">
        <v>201</v>
      </c>
      <c r="G10" s="9">
        <v>178</v>
      </c>
      <c r="H10" s="10">
        <f t="shared" si="0"/>
        <v>379</v>
      </c>
      <c r="I10" s="17">
        <v>103</v>
      </c>
      <c r="J10" s="17">
        <v>21</v>
      </c>
      <c r="K10" s="17">
        <v>20</v>
      </c>
      <c r="L10" s="17">
        <f t="shared" si="1"/>
        <v>124</v>
      </c>
      <c r="M10" s="18">
        <f t="shared" si="2"/>
        <v>-1</v>
      </c>
      <c r="N10" s="19">
        <v>17</v>
      </c>
      <c r="O10" s="19">
        <v>4</v>
      </c>
      <c r="P10" s="19">
        <v>36</v>
      </c>
      <c r="Q10" s="19">
        <f t="shared" si="3"/>
        <v>21</v>
      </c>
      <c r="R10" s="20">
        <f t="shared" si="4"/>
        <v>32</v>
      </c>
      <c r="S10" s="21">
        <f t="shared" si="5"/>
        <v>145</v>
      </c>
      <c r="T10" s="21">
        <f t="shared" si="6"/>
        <v>25</v>
      </c>
      <c r="U10" s="21">
        <f>K10+P10</f>
        <v>56</v>
      </c>
      <c r="V10" s="21">
        <f t="shared" si="7"/>
        <v>-89</v>
      </c>
      <c r="W10" s="11">
        <f>I10+J10+K10</f>
        <v>144</v>
      </c>
      <c r="X10" s="11">
        <f>N10+O10+P10</f>
        <v>57</v>
      </c>
      <c r="Y10" s="12">
        <f t="shared" si="8"/>
        <v>201</v>
      </c>
      <c r="Z10" s="13">
        <f>I10+K10</f>
        <v>123</v>
      </c>
      <c r="AA10" s="13">
        <f>N10+P10</f>
        <v>53</v>
      </c>
      <c r="AB10" s="14">
        <f t="shared" si="9"/>
        <v>176</v>
      </c>
      <c r="AC10" s="35">
        <f>W10/F10</f>
        <v>0.71641791044776115</v>
      </c>
      <c r="AD10" s="35">
        <f>X10/G10</f>
        <v>0.3202247191011236</v>
      </c>
      <c r="AE10" s="15">
        <f>Y10/H10</f>
        <v>0.53034300791556732</v>
      </c>
      <c r="AF10" s="36">
        <f>Z10/F10</f>
        <v>0.61194029850746268</v>
      </c>
      <c r="AG10" s="36">
        <f>AA10/G10</f>
        <v>0.29775280898876405</v>
      </c>
      <c r="AH10" s="15">
        <f>AB10/H10</f>
        <v>0.46437994722955145</v>
      </c>
    </row>
    <row r="11" spans="1:34" x14ac:dyDescent="0.35">
      <c r="A11" s="8">
        <v>8</v>
      </c>
      <c r="B11" s="1" t="s">
        <v>32</v>
      </c>
      <c r="C11" s="1" t="s">
        <v>33</v>
      </c>
      <c r="D11" s="1" t="s">
        <v>15</v>
      </c>
      <c r="E11" s="1" t="s">
        <v>34</v>
      </c>
      <c r="F11" s="9">
        <v>338</v>
      </c>
      <c r="G11" s="9">
        <v>22</v>
      </c>
      <c r="H11" s="10">
        <f t="shared" si="0"/>
        <v>360</v>
      </c>
      <c r="I11" s="17">
        <v>125</v>
      </c>
      <c r="J11" s="17">
        <v>11</v>
      </c>
      <c r="K11" s="17">
        <v>13</v>
      </c>
      <c r="L11" s="17">
        <f t="shared" si="1"/>
        <v>136</v>
      </c>
      <c r="M11" s="18">
        <f t="shared" si="2"/>
        <v>2</v>
      </c>
      <c r="N11" s="19">
        <v>2</v>
      </c>
      <c r="O11" s="19">
        <v>2</v>
      </c>
      <c r="P11" s="19">
        <v>3</v>
      </c>
      <c r="Q11" s="19">
        <f t="shared" si="3"/>
        <v>4</v>
      </c>
      <c r="R11" s="20">
        <f t="shared" si="4"/>
        <v>1</v>
      </c>
      <c r="S11" s="21">
        <f t="shared" si="5"/>
        <v>140</v>
      </c>
      <c r="T11" s="21">
        <f t="shared" si="6"/>
        <v>13</v>
      </c>
      <c r="U11" s="21">
        <f>K11+P11</f>
        <v>16</v>
      </c>
      <c r="V11" s="21">
        <f t="shared" si="7"/>
        <v>-124</v>
      </c>
      <c r="W11" s="11">
        <f>I11+J11+K11</f>
        <v>149</v>
      </c>
      <c r="X11" s="11">
        <f>N11+O11+P11</f>
        <v>7</v>
      </c>
      <c r="Y11" s="12">
        <f t="shared" si="8"/>
        <v>156</v>
      </c>
      <c r="Z11" s="13">
        <f>I11+K11</f>
        <v>138</v>
      </c>
      <c r="AA11" s="13">
        <f>N11+P11</f>
        <v>5</v>
      </c>
      <c r="AB11" s="14">
        <f t="shared" si="9"/>
        <v>143</v>
      </c>
      <c r="AC11" s="35">
        <f>W11/F11</f>
        <v>0.44082840236686388</v>
      </c>
      <c r="AD11" s="35">
        <f>X11/G11</f>
        <v>0.31818181818181818</v>
      </c>
      <c r="AE11" s="15">
        <f>Y11/H11</f>
        <v>0.43333333333333335</v>
      </c>
      <c r="AF11" s="36">
        <f>Z11/F11</f>
        <v>0.40828402366863903</v>
      </c>
      <c r="AG11" s="36">
        <f>AA11/G11</f>
        <v>0.22727272727272727</v>
      </c>
      <c r="AH11" s="15">
        <f>AB11/H11</f>
        <v>0.3972222222222222</v>
      </c>
    </row>
    <row r="12" spans="1:34" x14ac:dyDescent="0.35">
      <c r="A12" s="8">
        <v>9</v>
      </c>
      <c r="B12" s="1" t="s">
        <v>35</v>
      </c>
      <c r="C12" s="1" t="s">
        <v>36</v>
      </c>
      <c r="D12" s="1" t="s">
        <v>15</v>
      </c>
      <c r="E12" s="1" t="s">
        <v>37</v>
      </c>
      <c r="F12" s="9">
        <v>331</v>
      </c>
      <c r="G12" s="9">
        <v>53</v>
      </c>
      <c r="H12" s="10">
        <f t="shared" si="0"/>
        <v>384</v>
      </c>
      <c r="I12" s="17">
        <v>128</v>
      </c>
      <c r="J12" s="17">
        <v>30</v>
      </c>
      <c r="K12" s="17">
        <v>26</v>
      </c>
      <c r="L12" s="17">
        <f t="shared" si="1"/>
        <v>158</v>
      </c>
      <c r="M12" s="18">
        <f t="shared" si="2"/>
        <v>-4</v>
      </c>
      <c r="N12" s="19">
        <v>9</v>
      </c>
      <c r="O12" s="19">
        <v>21</v>
      </c>
      <c r="P12" s="19">
        <v>17</v>
      </c>
      <c r="Q12" s="19">
        <f t="shared" si="3"/>
        <v>30</v>
      </c>
      <c r="R12" s="20">
        <f t="shared" si="4"/>
        <v>-4</v>
      </c>
      <c r="S12" s="21">
        <f t="shared" si="5"/>
        <v>188</v>
      </c>
      <c r="T12" s="21">
        <f t="shared" si="6"/>
        <v>51</v>
      </c>
      <c r="U12" s="21">
        <f>K12+P12</f>
        <v>43</v>
      </c>
      <c r="V12" s="21">
        <f t="shared" si="7"/>
        <v>-145</v>
      </c>
      <c r="W12" s="11">
        <f>I12+J12+K12</f>
        <v>184</v>
      </c>
      <c r="X12" s="11">
        <f>N12+O12+P12</f>
        <v>47</v>
      </c>
      <c r="Y12" s="12">
        <f t="shared" si="8"/>
        <v>231</v>
      </c>
      <c r="Z12" s="13">
        <f>I12+K12</f>
        <v>154</v>
      </c>
      <c r="AA12" s="13">
        <f>N12+P12</f>
        <v>26</v>
      </c>
      <c r="AB12" s="14">
        <f t="shared" si="9"/>
        <v>180</v>
      </c>
      <c r="AC12" s="35">
        <f>W12/F12</f>
        <v>0.5558912386706949</v>
      </c>
      <c r="AD12" s="35">
        <f>X12/G12</f>
        <v>0.8867924528301887</v>
      </c>
      <c r="AE12" s="15">
        <f>Y12/H12</f>
        <v>0.6015625</v>
      </c>
      <c r="AF12" s="36">
        <f>Z12/F12</f>
        <v>0.46525679758308158</v>
      </c>
      <c r="AG12" s="36">
        <f>AA12/G12</f>
        <v>0.49056603773584906</v>
      </c>
      <c r="AH12" s="15">
        <f>AB12/H12</f>
        <v>0.46875</v>
      </c>
    </row>
    <row r="13" spans="1:34" x14ac:dyDescent="0.35">
      <c r="A13" s="8">
        <v>10</v>
      </c>
      <c r="B13" s="1" t="s">
        <v>38</v>
      </c>
      <c r="C13" s="1" t="s">
        <v>39</v>
      </c>
      <c r="D13" s="1" t="s">
        <v>15</v>
      </c>
      <c r="E13" s="1" t="s">
        <v>34</v>
      </c>
      <c r="F13" s="9">
        <v>356</v>
      </c>
      <c r="G13" s="9">
        <v>16</v>
      </c>
      <c r="H13" s="10">
        <f t="shared" si="0"/>
        <v>372</v>
      </c>
      <c r="I13" s="17">
        <v>159</v>
      </c>
      <c r="J13" s="17">
        <v>36</v>
      </c>
      <c r="K13" s="17">
        <v>64</v>
      </c>
      <c r="L13" s="17">
        <f t="shared" si="1"/>
        <v>195</v>
      </c>
      <c r="M13" s="18">
        <f t="shared" si="2"/>
        <v>28</v>
      </c>
      <c r="N13" s="19">
        <v>0</v>
      </c>
      <c r="O13" s="19">
        <v>1</v>
      </c>
      <c r="P13" s="19">
        <v>10</v>
      </c>
      <c r="Q13" s="19">
        <f t="shared" si="3"/>
        <v>1</v>
      </c>
      <c r="R13" s="20">
        <f t="shared" si="4"/>
        <v>9</v>
      </c>
      <c r="S13" s="21">
        <f t="shared" si="5"/>
        <v>196</v>
      </c>
      <c r="T13" s="21">
        <f t="shared" si="6"/>
        <v>37</v>
      </c>
      <c r="U13" s="21">
        <f>K13+P13</f>
        <v>74</v>
      </c>
      <c r="V13" s="21">
        <f t="shared" si="7"/>
        <v>-122</v>
      </c>
      <c r="W13" s="11">
        <f>I13+J13+K13</f>
        <v>259</v>
      </c>
      <c r="X13" s="11">
        <f>N13+O13+P13</f>
        <v>11</v>
      </c>
      <c r="Y13" s="12">
        <f t="shared" si="8"/>
        <v>270</v>
      </c>
      <c r="Z13" s="13">
        <f>I13+K13</f>
        <v>223</v>
      </c>
      <c r="AA13" s="13">
        <f>N13+P13</f>
        <v>10</v>
      </c>
      <c r="AB13" s="14">
        <f t="shared" si="9"/>
        <v>233</v>
      </c>
      <c r="AC13" s="35">
        <f>W13/F13</f>
        <v>0.72752808988764039</v>
      </c>
      <c r="AD13" s="35">
        <f>X13/G13</f>
        <v>0.6875</v>
      </c>
      <c r="AE13" s="15">
        <f>Y13/H13</f>
        <v>0.72580645161290325</v>
      </c>
      <c r="AF13" s="36">
        <f>Z13/F13</f>
        <v>0.6264044943820225</v>
      </c>
      <c r="AG13" s="36">
        <f>AA13/G13</f>
        <v>0.625</v>
      </c>
      <c r="AH13" s="15">
        <f>AB13/H13</f>
        <v>0.62634408602150538</v>
      </c>
    </row>
    <row r="14" spans="1:34" x14ac:dyDescent="0.35">
      <c r="A14" s="8">
        <v>11</v>
      </c>
      <c r="B14" s="1" t="s">
        <v>40</v>
      </c>
      <c r="C14" s="1" t="s">
        <v>41</v>
      </c>
      <c r="D14" s="1" t="s">
        <v>15</v>
      </c>
      <c r="E14" s="1" t="s">
        <v>37</v>
      </c>
      <c r="F14" s="9">
        <v>306</v>
      </c>
      <c r="G14" s="9">
        <v>55</v>
      </c>
      <c r="H14" s="10">
        <f t="shared" si="0"/>
        <v>361</v>
      </c>
      <c r="I14" s="17">
        <v>114</v>
      </c>
      <c r="J14" s="17">
        <v>24</v>
      </c>
      <c r="K14" s="17">
        <v>24</v>
      </c>
      <c r="L14" s="17">
        <f t="shared" si="1"/>
        <v>138</v>
      </c>
      <c r="M14" s="18">
        <f t="shared" si="2"/>
        <v>0</v>
      </c>
      <c r="N14" s="19">
        <v>4</v>
      </c>
      <c r="O14" s="19">
        <v>21</v>
      </c>
      <c r="P14" s="19">
        <v>5</v>
      </c>
      <c r="Q14" s="19">
        <f t="shared" si="3"/>
        <v>25</v>
      </c>
      <c r="R14" s="20">
        <f t="shared" si="4"/>
        <v>-16</v>
      </c>
      <c r="S14" s="21">
        <f t="shared" si="5"/>
        <v>163</v>
      </c>
      <c r="T14" s="21">
        <f t="shared" si="6"/>
        <v>45</v>
      </c>
      <c r="U14" s="21">
        <f>K14+P14</f>
        <v>29</v>
      </c>
      <c r="V14" s="21">
        <f t="shared" si="7"/>
        <v>-134</v>
      </c>
      <c r="W14" s="11">
        <f>I14+J14+K14</f>
        <v>162</v>
      </c>
      <c r="X14" s="11">
        <f>N14+O14+P14</f>
        <v>30</v>
      </c>
      <c r="Y14" s="12">
        <f t="shared" si="8"/>
        <v>192</v>
      </c>
      <c r="Z14" s="13">
        <f>I14+K14</f>
        <v>138</v>
      </c>
      <c r="AA14" s="13">
        <f>N14+P14</f>
        <v>9</v>
      </c>
      <c r="AB14" s="14">
        <f t="shared" si="9"/>
        <v>147</v>
      </c>
      <c r="AC14" s="35">
        <f>W14/F14</f>
        <v>0.52941176470588236</v>
      </c>
      <c r="AD14" s="35">
        <f>X14/G14</f>
        <v>0.54545454545454541</v>
      </c>
      <c r="AE14" s="15">
        <f>Y14/H14</f>
        <v>0.53185595567867039</v>
      </c>
      <c r="AF14" s="36">
        <f>Z14/F14</f>
        <v>0.45098039215686275</v>
      </c>
      <c r="AG14" s="36">
        <f>AA14/G14</f>
        <v>0.16363636363636364</v>
      </c>
      <c r="AH14" s="15">
        <f>AB14/H14</f>
        <v>0.40720221606648199</v>
      </c>
    </row>
    <row r="15" spans="1:34" x14ac:dyDescent="0.35">
      <c r="A15" s="8">
        <v>12</v>
      </c>
      <c r="B15" s="1" t="s">
        <v>42</v>
      </c>
      <c r="C15" s="1" t="s">
        <v>43</v>
      </c>
      <c r="D15" s="1" t="s">
        <v>15</v>
      </c>
      <c r="E15" s="1" t="s">
        <v>34</v>
      </c>
      <c r="F15" s="9">
        <v>312</v>
      </c>
      <c r="G15" s="9">
        <v>41</v>
      </c>
      <c r="H15" s="10">
        <f t="shared" si="0"/>
        <v>353</v>
      </c>
      <c r="I15" s="17">
        <v>126</v>
      </c>
      <c r="J15" s="17">
        <v>13</v>
      </c>
      <c r="K15" s="17">
        <v>18</v>
      </c>
      <c r="L15" s="17">
        <f t="shared" si="1"/>
        <v>139</v>
      </c>
      <c r="M15" s="18">
        <f t="shared" si="2"/>
        <v>5</v>
      </c>
      <c r="N15" s="19">
        <v>4</v>
      </c>
      <c r="O15" s="19">
        <v>5</v>
      </c>
      <c r="P15" s="19">
        <v>4</v>
      </c>
      <c r="Q15" s="19">
        <f t="shared" si="3"/>
        <v>9</v>
      </c>
      <c r="R15" s="20">
        <f t="shared" si="4"/>
        <v>-1</v>
      </c>
      <c r="S15" s="21">
        <f t="shared" si="5"/>
        <v>148</v>
      </c>
      <c r="T15" s="21">
        <f t="shared" si="6"/>
        <v>18</v>
      </c>
      <c r="U15" s="21">
        <f>K15+P15</f>
        <v>22</v>
      </c>
      <c r="V15" s="21">
        <f t="shared" si="7"/>
        <v>-126</v>
      </c>
      <c r="W15" s="11">
        <f>I15+J15+K15</f>
        <v>157</v>
      </c>
      <c r="X15" s="11">
        <f>N15+O15+P15</f>
        <v>13</v>
      </c>
      <c r="Y15" s="12">
        <f t="shared" si="8"/>
        <v>170</v>
      </c>
      <c r="Z15" s="13">
        <f>I15+K15</f>
        <v>144</v>
      </c>
      <c r="AA15" s="13">
        <f>N15+P15</f>
        <v>8</v>
      </c>
      <c r="AB15" s="14">
        <f t="shared" si="9"/>
        <v>152</v>
      </c>
      <c r="AC15" s="35">
        <f>W15/F15</f>
        <v>0.50320512820512819</v>
      </c>
      <c r="AD15" s="35">
        <f>X15/G15</f>
        <v>0.31707317073170732</v>
      </c>
      <c r="AE15" s="15">
        <f>Y15/H15</f>
        <v>0.48158640226628896</v>
      </c>
      <c r="AF15" s="36">
        <f>Z15/F15</f>
        <v>0.46153846153846156</v>
      </c>
      <c r="AG15" s="36">
        <f>AA15/G15</f>
        <v>0.1951219512195122</v>
      </c>
      <c r="AH15" s="15">
        <f>AB15/H15</f>
        <v>0.43059490084985835</v>
      </c>
    </row>
    <row r="16" spans="1:34" x14ac:dyDescent="0.35">
      <c r="A16" s="8">
        <v>13</v>
      </c>
      <c r="B16" s="1" t="s">
        <v>44</v>
      </c>
      <c r="C16" s="1" t="s">
        <v>45</v>
      </c>
      <c r="D16" s="1" t="s">
        <v>15</v>
      </c>
      <c r="E16" s="1" t="s">
        <v>29</v>
      </c>
      <c r="F16" s="9">
        <v>297</v>
      </c>
      <c r="G16" s="9">
        <v>72</v>
      </c>
      <c r="H16" s="10">
        <f t="shared" si="0"/>
        <v>369</v>
      </c>
      <c r="I16" s="17">
        <v>87</v>
      </c>
      <c r="J16" s="17">
        <v>70</v>
      </c>
      <c r="K16" s="17">
        <v>12</v>
      </c>
      <c r="L16" s="17">
        <f t="shared" si="1"/>
        <v>157</v>
      </c>
      <c r="M16" s="18">
        <f t="shared" si="2"/>
        <v>-58</v>
      </c>
      <c r="N16" s="19">
        <v>3</v>
      </c>
      <c r="O16" s="19">
        <v>7</v>
      </c>
      <c r="P16" s="19">
        <v>3</v>
      </c>
      <c r="Q16" s="19">
        <f t="shared" si="3"/>
        <v>10</v>
      </c>
      <c r="R16" s="20">
        <f t="shared" si="4"/>
        <v>-4</v>
      </c>
      <c r="S16" s="21">
        <f t="shared" si="5"/>
        <v>167</v>
      </c>
      <c r="T16" s="21">
        <f t="shared" si="6"/>
        <v>77</v>
      </c>
      <c r="U16" s="21">
        <f>K16+P16</f>
        <v>15</v>
      </c>
      <c r="V16" s="21">
        <f t="shared" si="7"/>
        <v>-152</v>
      </c>
      <c r="W16" s="11">
        <f>I16+J16+K16</f>
        <v>169</v>
      </c>
      <c r="X16" s="11">
        <f>N16+O16+P16</f>
        <v>13</v>
      </c>
      <c r="Y16" s="12">
        <f t="shared" si="8"/>
        <v>182</v>
      </c>
      <c r="Z16" s="13">
        <f>I16+K16</f>
        <v>99</v>
      </c>
      <c r="AA16" s="13">
        <f>N16+P16</f>
        <v>6</v>
      </c>
      <c r="AB16" s="14">
        <f t="shared" si="9"/>
        <v>105</v>
      </c>
      <c r="AC16" s="35">
        <f>W16/F16</f>
        <v>0.56902356902356899</v>
      </c>
      <c r="AD16" s="35">
        <f>X16/G16</f>
        <v>0.18055555555555555</v>
      </c>
      <c r="AE16" s="15">
        <f>Y16/H16</f>
        <v>0.49322493224932251</v>
      </c>
      <c r="AF16" s="36">
        <f>Z16/F16</f>
        <v>0.33333333333333331</v>
      </c>
      <c r="AG16" s="36">
        <f>AA16/G16</f>
        <v>8.3333333333333329E-2</v>
      </c>
      <c r="AH16" s="15">
        <f>AB16/H16</f>
        <v>0.28455284552845528</v>
      </c>
    </row>
    <row r="17" spans="1:34" x14ac:dyDescent="0.35">
      <c r="A17" s="8">
        <v>14</v>
      </c>
      <c r="B17" s="1" t="s">
        <v>46</v>
      </c>
      <c r="C17" s="1" t="s">
        <v>47</v>
      </c>
      <c r="D17" s="1" t="s">
        <v>15</v>
      </c>
      <c r="E17" s="1" t="s">
        <v>48</v>
      </c>
      <c r="F17" s="9">
        <v>334</v>
      </c>
      <c r="G17" s="9">
        <v>54</v>
      </c>
      <c r="H17" s="10">
        <f t="shared" si="0"/>
        <v>388</v>
      </c>
      <c r="I17" s="17">
        <v>143</v>
      </c>
      <c r="J17" s="17">
        <v>69</v>
      </c>
      <c r="K17" s="17">
        <v>46</v>
      </c>
      <c r="L17" s="17">
        <f t="shared" si="1"/>
        <v>212</v>
      </c>
      <c r="M17" s="18">
        <f t="shared" si="2"/>
        <v>-23</v>
      </c>
      <c r="N17" s="19">
        <v>9</v>
      </c>
      <c r="O17" s="19">
        <v>14</v>
      </c>
      <c r="P17" s="19">
        <v>16</v>
      </c>
      <c r="Q17" s="19">
        <f t="shared" si="3"/>
        <v>23</v>
      </c>
      <c r="R17" s="20">
        <f t="shared" si="4"/>
        <v>2</v>
      </c>
      <c r="S17" s="21">
        <f t="shared" si="5"/>
        <v>235</v>
      </c>
      <c r="T17" s="21">
        <f t="shared" si="6"/>
        <v>83</v>
      </c>
      <c r="U17" s="21">
        <f>K17+P17</f>
        <v>62</v>
      </c>
      <c r="V17" s="21">
        <f t="shared" si="7"/>
        <v>-173</v>
      </c>
      <c r="W17" s="11">
        <f>I17+J17+K17</f>
        <v>258</v>
      </c>
      <c r="X17" s="11">
        <f>N17+O17+P17</f>
        <v>39</v>
      </c>
      <c r="Y17" s="12">
        <f t="shared" si="8"/>
        <v>297</v>
      </c>
      <c r="Z17" s="13">
        <f>I17+K17</f>
        <v>189</v>
      </c>
      <c r="AA17" s="13">
        <f>N17+P17</f>
        <v>25</v>
      </c>
      <c r="AB17" s="14">
        <f t="shared" si="9"/>
        <v>214</v>
      </c>
      <c r="AC17" s="35">
        <f>W17/F17</f>
        <v>0.77245508982035926</v>
      </c>
      <c r="AD17" s="35">
        <f>X17/G17</f>
        <v>0.72222222222222221</v>
      </c>
      <c r="AE17" s="15">
        <f>Y17/H17</f>
        <v>0.76546391752577314</v>
      </c>
      <c r="AF17" s="36">
        <f>Z17/F17</f>
        <v>0.56586826347305386</v>
      </c>
      <c r="AG17" s="36">
        <f>AA17/G17</f>
        <v>0.46296296296296297</v>
      </c>
      <c r="AH17" s="15">
        <f>AB17/H17</f>
        <v>0.55154639175257736</v>
      </c>
    </row>
    <row r="18" spans="1:34" x14ac:dyDescent="0.35">
      <c r="A18" s="8">
        <v>15</v>
      </c>
      <c r="B18" s="1" t="s">
        <v>49</v>
      </c>
      <c r="C18" s="1" t="s">
        <v>50</v>
      </c>
      <c r="D18" s="1" t="s">
        <v>15</v>
      </c>
      <c r="E18" s="1" t="s">
        <v>51</v>
      </c>
      <c r="F18" s="9">
        <v>352</v>
      </c>
      <c r="G18" s="9">
        <v>16</v>
      </c>
      <c r="H18" s="10">
        <f t="shared" si="0"/>
        <v>368</v>
      </c>
      <c r="I18" s="17">
        <v>189</v>
      </c>
      <c r="J18" s="17">
        <v>64</v>
      </c>
      <c r="K18" s="17">
        <v>4</v>
      </c>
      <c r="L18" s="17">
        <f t="shared" si="1"/>
        <v>253</v>
      </c>
      <c r="M18" s="18">
        <f t="shared" si="2"/>
        <v>-60</v>
      </c>
      <c r="N18" s="19">
        <v>0</v>
      </c>
      <c r="O18" s="19">
        <v>11</v>
      </c>
      <c r="P18" s="19">
        <v>6</v>
      </c>
      <c r="Q18" s="19">
        <f t="shared" si="3"/>
        <v>11</v>
      </c>
      <c r="R18" s="20">
        <f t="shared" si="4"/>
        <v>-5</v>
      </c>
      <c r="S18" s="21">
        <f t="shared" si="5"/>
        <v>264</v>
      </c>
      <c r="T18" s="21">
        <f t="shared" si="6"/>
        <v>75</v>
      </c>
      <c r="U18" s="21">
        <f>K18+P18</f>
        <v>10</v>
      </c>
      <c r="V18" s="21">
        <f t="shared" si="7"/>
        <v>-254</v>
      </c>
      <c r="W18" s="11">
        <f>I18+J18+K18</f>
        <v>257</v>
      </c>
      <c r="X18" s="11">
        <f>N18+O18+P18</f>
        <v>17</v>
      </c>
      <c r="Y18" s="12">
        <f t="shared" si="8"/>
        <v>274</v>
      </c>
      <c r="Z18" s="13">
        <f>I18+K18</f>
        <v>193</v>
      </c>
      <c r="AA18" s="13">
        <f>N18+P18</f>
        <v>6</v>
      </c>
      <c r="AB18" s="14">
        <f t="shared" si="9"/>
        <v>199</v>
      </c>
      <c r="AC18" s="35">
        <f>W18/F18</f>
        <v>0.73011363636363635</v>
      </c>
      <c r="AD18" s="35">
        <f>X18/G18</f>
        <v>1.0625</v>
      </c>
      <c r="AE18" s="15">
        <f>Y18/H18</f>
        <v>0.74456521739130432</v>
      </c>
      <c r="AF18" s="36">
        <f>Z18/F18</f>
        <v>0.54829545454545459</v>
      </c>
      <c r="AG18" s="36">
        <f>AA18/G18</f>
        <v>0.375</v>
      </c>
      <c r="AH18" s="15">
        <f>AB18/H18</f>
        <v>0.54076086956521741</v>
      </c>
    </row>
    <row r="19" spans="1:34" x14ac:dyDescent="0.35">
      <c r="A19" s="8">
        <v>16</v>
      </c>
      <c r="B19" s="1" t="s">
        <v>52</v>
      </c>
      <c r="C19" s="1" t="s">
        <v>53</v>
      </c>
      <c r="D19" s="1" t="s">
        <v>15</v>
      </c>
      <c r="E19" s="1" t="s">
        <v>48</v>
      </c>
      <c r="F19" s="9">
        <v>395</v>
      </c>
      <c r="G19" s="9">
        <v>35</v>
      </c>
      <c r="H19" s="10">
        <f t="shared" si="0"/>
        <v>430</v>
      </c>
      <c r="I19" s="17">
        <v>134</v>
      </c>
      <c r="J19" s="17">
        <v>50</v>
      </c>
      <c r="K19" s="17">
        <v>18</v>
      </c>
      <c r="L19" s="17">
        <f t="shared" si="1"/>
        <v>184</v>
      </c>
      <c r="M19" s="18">
        <f t="shared" si="2"/>
        <v>-32</v>
      </c>
      <c r="N19" s="19">
        <v>0</v>
      </c>
      <c r="O19" s="19">
        <v>4</v>
      </c>
      <c r="P19" s="19">
        <v>1</v>
      </c>
      <c r="Q19" s="19">
        <f t="shared" si="3"/>
        <v>4</v>
      </c>
      <c r="R19" s="20">
        <f t="shared" si="4"/>
        <v>-3</v>
      </c>
      <c r="S19" s="21">
        <f t="shared" si="5"/>
        <v>188</v>
      </c>
      <c r="T19" s="21">
        <f t="shared" si="6"/>
        <v>54</v>
      </c>
      <c r="U19" s="21">
        <f>K19+P19</f>
        <v>19</v>
      </c>
      <c r="V19" s="21">
        <f t="shared" si="7"/>
        <v>-169</v>
      </c>
      <c r="W19" s="11">
        <f>I19+J19+K19</f>
        <v>202</v>
      </c>
      <c r="X19" s="11">
        <f>N19+O19+P19</f>
        <v>5</v>
      </c>
      <c r="Y19" s="12">
        <f t="shared" si="8"/>
        <v>207</v>
      </c>
      <c r="Z19" s="13">
        <f>I19+K19</f>
        <v>152</v>
      </c>
      <c r="AA19" s="13">
        <f>N19+P19</f>
        <v>1</v>
      </c>
      <c r="AB19" s="14">
        <f t="shared" si="9"/>
        <v>153</v>
      </c>
      <c r="AC19" s="35">
        <f>W19/F19</f>
        <v>0.51139240506329109</v>
      </c>
      <c r="AD19" s="35">
        <f>X19/G19</f>
        <v>0.14285714285714285</v>
      </c>
      <c r="AE19" s="15">
        <f>Y19/H19</f>
        <v>0.4813953488372093</v>
      </c>
      <c r="AF19" s="36">
        <f>Z19/F19</f>
        <v>0.38481012658227848</v>
      </c>
      <c r="AG19" s="36">
        <f>AA19/G19</f>
        <v>2.8571428571428571E-2</v>
      </c>
      <c r="AH19" s="15">
        <f>AB19/H19</f>
        <v>0.35581395348837208</v>
      </c>
    </row>
    <row r="20" spans="1:34" x14ac:dyDescent="0.35">
      <c r="A20" s="8">
        <v>17</v>
      </c>
      <c r="B20" s="1" t="s">
        <v>54</v>
      </c>
      <c r="C20" s="1" t="s">
        <v>55</v>
      </c>
      <c r="D20" s="1" t="s">
        <v>15</v>
      </c>
      <c r="E20" s="1" t="s">
        <v>37</v>
      </c>
      <c r="F20" s="9">
        <v>347</v>
      </c>
      <c r="G20" s="9">
        <v>27</v>
      </c>
      <c r="H20" s="10">
        <f t="shared" si="0"/>
        <v>374</v>
      </c>
      <c r="I20" s="17">
        <v>193</v>
      </c>
      <c r="J20" s="17">
        <v>25</v>
      </c>
      <c r="K20" s="17">
        <v>54</v>
      </c>
      <c r="L20" s="17">
        <f t="shared" si="1"/>
        <v>218</v>
      </c>
      <c r="M20" s="18">
        <f t="shared" si="2"/>
        <v>29</v>
      </c>
      <c r="N20" s="19">
        <v>7</v>
      </c>
      <c r="O20" s="19">
        <v>10</v>
      </c>
      <c r="P20" s="19">
        <v>8</v>
      </c>
      <c r="Q20" s="19">
        <f t="shared" si="3"/>
        <v>17</v>
      </c>
      <c r="R20" s="20">
        <f t="shared" si="4"/>
        <v>-2</v>
      </c>
      <c r="S20" s="21">
        <f t="shared" si="5"/>
        <v>235</v>
      </c>
      <c r="T20" s="21">
        <f t="shared" si="6"/>
        <v>35</v>
      </c>
      <c r="U20" s="21">
        <f>K20+P20</f>
        <v>62</v>
      </c>
      <c r="V20" s="21">
        <f t="shared" si="7"/>
        <v>-173</v>
      </c>
      <c r="W20" s="11">
        <f>I20+J20+K20</f>
        <v>272</v>
      </c>
      <c r="X20" s="11">
        <f>N20+O20+P20</f>
        <v>25</v>
      </c>
      <c r="Y20" s="12">
        <f t="shared" si="8"/>
        <v>297</v>
      </c>
      <c r="Z20" s="13">
        <f>I20+K20</f>
        <v>247</v>
      </c>
      <c r="AA20" s="13">
        <f>N20+P20</f>
        <v>15</v>
      </c>
      <c r="AB20" s="14">
        <f t="shared" si="9"/>
        <v>262</v>
      </c>
      <c r="AC20" s="35">
        <f>W20/F20</f>
        <v>0.78386167146974062</v>
      </c>
      <c r="AD20" s="35">
        <f>X20/G20</f>
        <v>0.92592592592592593</v>
      </c>
      <c r="AE20" s="15">
        <f>Y20/H20</f>
        <v>0.79411764705882348</v>
      </c>
      <c r="AF20" s="36">
        <f>Z20/F20</f>
        <v>0.71181556195965423</v>
      </c>
      <c r="AG20" s="36">
        <f>AA20/G20</f>
        <v>0.55555555555555558</v>
      </c>
      <c r="AH20" s="15">
        <f>AB20/H20</f>
        <v>0.70053475935828879</v>
      </c>
    </row>
    <row r="21" spans="1:34" x14ac:dyDescent="0.35">
      <c r="A21" s="8">
        <v>18</v>
      </c>
      <c r="B21" s="1" t="s">
        <v>56</v>
      </c>
      <c r="C21" s="1" t="s">
        <v>57</v>
      </c>
      <c r="D21" s="1" t="s">
        <v>15</v>
      </c>
      <c r="E21" s="1" t="s">
        <v>58</v>
      </c>
      <c r="F21" s="9">
        <v>244</v>
      </c>
      <c r="G21" s="9">
        <v>44</v>
      </c>
      <c r="H21" s="10">
        <f t="shared" si="0"/>
        <v>288</v>
      </c>
      <c r="I21" s="17">
        <v>189</v>
      </c>
      <c r="J21" s="17">
        <v>35</v>
      </c>
      <c r="K21" s="17">
        <v>1</v>
      </c>
      <c r="L21" s="17">
        <f t="shared" si="1"/>
        <v>224</v>
      </c>
      <c r="M21" s="18">
        <f t="shared" si="2"/>
        <v>-34</v>
      </c>
      <c r="N21" s="19">
        <v>20</v>
      </c>
      <c r="O21" s="19">
        <v>10</v>
      </c>
      <c r="P21" s="19">
        <v>20</v>
      </c>
      <c r="Q21" s="19">
        <f t="shared" si="3"/>
        <v>30</v>
      </c>
      <c r="R21" s="20">
        <f t="shared" si="4"/>
        <v>10</v>
      </c>
      <c r="S21" s="21">
        <f t="shared" si="5"/>
        <v>254</v>
      </c>
      <c r="T21" s="21">
        <f t="shared" si="6"/>
        <v>45</v>
      </c>
      <c r="U21" s="21">
        <f>K21+P21</f>
        <v>21</v>
      </c>
      <c r="V21" s="21">
        <f t="shared" si="7"/>
        <v>-233</v>
      </c>
      <c r="W21" s="11">
        <f>I21+J21+K21</f>
        <v>225</v>
      </c>
      <c r="X21" s="11">
        <f>N21+O21+P21</f>
        <v>50</v>
      </c>
      <c r="Y21" s="12">
        <f t="shared" si="8"/>
        <v>275</v>
      </c>
      <c r="Z21" s="13">
        <f>I21+K21</f>
        <v>190</v>
      </c>
      <c r="AA21" s="13">
        <f>N21+P21</f>
        <v>40</v>
      </c>
      <c r="AB21" s="14">
        <f t="shared" si="9"/>
        <v>230</v>
      </c>
      <c r="AC21" s="35">
        <f>W21/F21</f>
        <v>0.92213114754098358</v>
      </c>
      <c r="AD21" s="35">
        <f>X21/G21</f>
        <v>1.1363636363636365</v>
      </c>
      <c r="AE21" s="15">
        <f>Y21/H21</f>
        <v>0.95486111111111116</v>
      </c>
      <c r="AF21" s="36">
        <f>Z21/F21</f>
        <v>0.77868852459016391</v>
      </c>
      <c r="AG21" s="36">
        <f>AA21/G21</f>
        <v>0.90909090909090906</v>
      </c>
      <c r="AH21" s="15">
        <f>AB21/H21</f>
        <v>0.79861111111111116</v>
      </c>
    </row>
    <row r="22" spans="1:34" x14ac:dyDescent="0.35">
      <c r="A22" s="8">
        <v>19</v>
      </c>
      <c r="B22" s="1" t="s">
        <v>59</v>
      </c>
      <c r="C22" s="1" t="s">
        <v>60</v>
      </c>
      <c r="D22" s="1" t="s">
        <v>61</v>
      </c>
      <c r="E22" s="1" t="s">
        <v>34</v>
      </c>
      <c r="F22" s="9">
        <v>1629</v>
      </c>
      <c r="G22" s="9">
        <v>161</v>
      </c>
      <c r="H22" s="10">
        <f t="shared" ref="H22:H53" si="10">F22+G22</f>
        <v>1790</v>
      </c>
      <c r="I22" s="17">
        <v>612</v>
      </c>
      <c r="J22" s="17">
        <v>68</v>
      </c>
      <c r="K22" s="17">
        <v>101</v>
      </c>
      <c r="L22" s="17">
        <f t="shared" si="1"/>
        <v>680</v>
      </c>
      <c r="M22" s="18">
        <f t="shared" si="2"/>
        <v>33</v>
      </c>
      <c r="N22" s="19">
        <v>17</v>
      </c>
      <c r="O22" s="19">
        <v>33</v>
      </c>
      <c r="P22" s="19">
        <v>24</v>
      </c>
      <c r="Q22" s="19">
        <f t="shared" si="3"/>
        <v>50</v>
      </c>
      <c r="R22" s="20">
        <f t="shared" si="4"/>
        <v>-9</v>
      </c>
      <c r="S22" s="21">
        <f t="shared" si="5"/>
        <v>730</v>
      </c>
      <c r="T22" s="21">
        <f t="shared" si="6"/>
        <v>101</v>
      </c>
      <c r="U22" s="21">
        <f>K22+P22</f>
        <v>125</v>
      </c>
      <c r="V22" s="21">
        <f t="shared" ref="V22:V53" si="11">U22-S22</f>
        <v>-605</v>
      </c>
      <c r="W22" s="11">
        <f>I22+J22+K22</f>
        <v>781</v>
      </c>
      <c r="X22" s="11">
        <f>N22+O22+P22</f>
        <v>74</v>
      </c>
      <c r="Y22" s="12">
        <f t="shared" ref="Y22:Y53" si="12">W22+X22</f>
        <v>855</v>
      </c>
      <c r="Z22" s="13">
        <f>I22+K22</f>
        <v>713</v>
      </c>
      <c r="AA22" s="13">
        <f>N22+P22</f>
        <v>41</v>
      </c>
      <c r="AB22" s="14">
        <f t="shared" ref="AB22:AB53" si="13">Z22+AA22</f>
        <v>754</v>
      </c>
      <c r="AC22" s="35">
        <f>W22/F22</f>
        <v>0.47943523634131369</v>
      </c>
      <c r="AD22" s="35">
        <f>X22/G22</f>
        <v>0.45962732919254656</v>
      </c>
      <c r="AE22" s="15">
        <f>Y22/H22</f>
        <v>0.47765363128491622</v>
      </c>
      <c r="AF22" s="36">
        <f>Z22/F22</f>
        <v>0.43769183548189072</v>
      </c>
      <c r="AG22" s="36">
        <f>AA22/G22</f>
        <v>0.25465838509316768</v>
      </c>
      <c r="AH22" s="15">
        <f>AB22/H22</f>
        <v>0.42122905027932961</v>
      </c>
    </row>
    <row r="23" spans="1:34" x14ac:dyDescent="0.35">
      <c r="A23" s="8">
        <v>20</v>
      </c>
      <c r="B23" s="1" t="s">
        <v>62</v>
      </c>
      <c r="C23" s="1" t="s">
        <v>63</v>
      </c>
      <c r="D23" s="1" t="s">
        <v>15</v>
      </c>
      <c r="E23" s="1" t="s">
        <v>16</v>
      </c>
      <c r="F23" s="9">
        <v>315</v>
      </c>
      <c r="G23" s="9">
        <v>51</v>
      </c>
      <c r="H23" s="10">
        <f t="shared" si="10"/>
        <v>366</v>
      </c>
      <c r="I23" s="17">
        <v>97</v>
      </c>
      <c r="J23" s="17">
        <v>55</v>
      </c>
      <c r="K23" s="17">
        <v>5</v>
      </c>
      <c r="L23" s="17">
        <f t="shared" si="1"/>
        <v>152</v>
      </c>
      <c r="M23" s="18">
        <f t="shared" si="2"/>
        <v>-50</v>
      </c>
      <c r="N23" s="19">
        <v>4</v>
      </c>
      <c r="O23" s="19">
        <v>20</v>
      </c>
      <c r="P23" s="19">
        <v>6</v>
      </c>
      <c r="Q23" s="19">
        <f t="shared" si="3"/>
        <v>24</v>
      </c>
      <c r="R23" s="20">
        <f t="shared" si="4"/>
        <v>-14</v>
      </c>
      <c r="S23" s="21">
        <f t="shared" si="5"/>
        <v>176</v>
      </c>
      <c r="T23" s="21">
        <f t="shared" si="6"/>
        <v>75</v>
      </c>
      <c r="U23" s="21">
        <f>K23+P23</f>
        <v>11</v>
      </c>
      <c r="V23" s="21">
        <f t="shared" si="11"/>
        <v>-165</v>
      </c>
      <c r="W23" s="11">
        <f>I23+J23+K23</f>
        <v>157</v>
      </c>
      <c r="X23" s="11">
        <f>N23+O23+P23</f>
        <v>30</v>
      </c>
      <c r="Y23" s="12">
        <f t="shared" si="12"/>
        <v>187</v>
      </c>
      <c r="Z23" s="13">
        <f>I23+K23</f>
        <v>102</v>
      </c>
      <c r="AA23" s="13">
        <f>N23+P23</f>
        <v>10</v>
      </c>
      <c r="AB23" s="14">
        <f t="shared" si="13"/>
        <v>112</v>
      </c>
      <c r="AC23" s="35">
        <f>W23/F23</f>
        <v>0.49841269841269842</v>
      </c>
      <c r="AD23" s="35">
        <f>X23/G23</f>
        <v>0.58823529411764708</v>
      </c>
      <c r="AE23" s="15">
        <f>Y23/H23</f>
        <v>0.51092896174863389</v>
      </c>
      <c r="AF23" s="36">
        <f>Z23/F23</f>
        <v>0.32380952380952382</v>
      </c>
      <c r="AG23" s="36">
        <f>AA23/G23</f>
        <v>0.19607843137254902</v>
      </c>
      <c r="AH23" s="15">
        <f>AB23/H23</f>
        <v>0.30601092896174864</v>
      </c>
    </row>
    <row r="24" spans="1:34" x14ac:dyDescent="0.35">
      <c r="A24" s="8">
        <v>21</v>
      </c>
      <c r="B24" s="1" t="s">
        <v>64</v>
      </c>
      <c r="C24" s="1" t="s">
        <v>65</v>
      </c>
      <c r="D24" s="1" t="s">
        <v>15</v>
      </c>
      <c r="E24" s="1" t="s">
        <v>51</v>
      </c>
      <c r="F24" s="9">
        <v>400</v>
      </c>
      <c r="G24" s="9">
        <v>20</v>
      </c>
      <c r="H24" s="10">
        <f t="shared" si="10"/>
        <v>420</v>
      </c>
      <c r="I24" s="17">
        <v>109</v>
      </c>
      <c r="J24" s="17">
        <v>76</v>
      </c>
      <c r="K24" s="17">
        <v>23</v>
      </c>
      <c r="L24" s="17">
        <f t="shared" si="1"/>
        <v>185</v>
      </c>
      <c r="M24" s="18">
        <f t="shared" si="2"/>
        <v>-53</v>
      </c>
      <c r="N24" s="19">
        <v>1</v>
      </c>
      <c r="O24" s="19">
        <v>6</v>
      </c>
      <c r="P24" s="19">
        <v>7</v>
      </c>
      <c r="Q24" s="19">
        <f t="shared" si="3"/>
        <v>7</v>
      </c>
      <c r="R24" s="20">
        <f t="shared" si="4"/>
        <v>1</v>
      </c>
      <c r="S24" s="21">
        <f t="shared" si="5"/>
        <v>192</v>
      </c>
      <c r="T24" s="21">
        <f t="shared" si="6"/>
        <v>82</v>
      </c>
      <c r="U24" s="21">
        <f>K24+P24</f>
        <v>30</v>
      </c>
      <c r="V24" s="21">
        <f t="shared" si="11"/>
        <v>-162</v>
      </c>
      <c r="W24" s="11">
        <f>I24+J24+K24</f>
        <v>208</v>
      </c>
      <c r="X24" s="11">
        <f>N24+O24+P24</f>
        <v>14</v>
      </c>
      <c r="Y24" s="12">
        <f t="shared" si="12"/>
        <v>222</v>
      </c>
      <c r="Z24" s="13">
        <f>I24+K24</f>
        <v>132</v>
      </c>
      <c r="AA24" s="13">
        <f>N24+P24</f>
        <v>8</v>
      </c>
      <c r="AB24" s="14">
        <f t="shared" si="13"/>
        <v>140</v>
      </c>
      <c r="AC24" s="35">
        <f>W24/F24</f>
        <v>0.52</v>
      </c>
      <c r="AD24" s="35">
        <f>X24/G24</f>
        <v>0.7</v>
      </c>
      <c r="AE24" s="15">
        <f>Y24/H24</f>
        <v>0.52857142857142858</v>
      </c>
      <c r="AF24" s="36">
        <f>Z24/F24</f>
        <v>0.33</v>
      </c>
      <c r="AG24" s="36">
        <f>AA24/G24</f>
        <v>0.4</v>
      </c>
      <c r="AH24" s="15">
        <f>AB24/H24</f>
        <v>0.33333333333333331</v>
      </c>
    </row>
    <row r="25" spans="1:34" x14ac:dyDescent="0.35">
      <c r="A25" s="8">
        <v>22</v>
      </c>
      <c r="B25" s="1" t="s">
        <v>66</v>
      </c>
      <c r="C25" s="1" t="s">
        <v>67</v>
      </c>
      <c r="D25" s="1" t="s">
        <v>15</v>
      </c>
      <c r="E25" s="1" t="s">
        <v>68</v>
      </c>
      <c r="F25" s="9">
        <v>264</v>
      </c>
      <c r="G25" s="9">
        <v>47</v>
      </c>
      <c r="H25" s="10">
        <f t="shared" si="10"/>
        <v>311</v>
      </c>
      <c r="I25" s="17">
        <v>139</v>
      </c>
      <c r="J25" s="17">
        <v>21</v>
      </c>
      <c r="K25" s="17">
        <v>22</v>
      </c>
      <c r="L25" s="17">
        <f t="shared" si="1"/>
        <v>160</v>
      </c>
      <c r="M25" s="18">
        <f t="shared" si="2"/>
        <v>1</v>
      </c>
      <c r="N25" s="19">
        <v>1</v>
      </c>
      <c r="O25" s="19">
        <v>30</v>
      </c>
      <c r="P25" s="19">
        <v>6</v>
      </c>
      <c r="Q25" s="19">
        <f t="shared" si="3"/>
        <v>31</v>
      </c>
      <c r="R25" s="20">
        <f t="shared" si="4"/>
        <v>-24</v>
      </c>
      <c r="S25" s="21">
        <f t="shared" si="5"/>
        <v>191</v>
      </c>
      <c r="T25" s="21">
        <f t="shared" si="6"/>
        <v>51</v>
      </c>
      <c r="U25" s="21">
        <f>K25+P25</f>
        <v>28</v>
      </c>
      <c r="V25" s="21">
        <f t="shared" si="11"/>
        <v>-163</v>
      </c>
      <c r="W25" s="11">
        <f>I25+J25+K25</f>
        <v>182</v>
      </c>
      <c r="X25" s="11">
        <f>N25+O25+P25</f>
        <v>37</v>
      </c>
      <c r="Y25" s="12">
        <f t="shared" si="12"/>
        <v>219</v>
      </c>
      <c r="Z25" s="13">
        <f>I25+K25</f>
        <v>161</v>
      </c>
      <c r="AA25" s="13">
        <f>N25+P25</f>
        <v>7</v>
      </c>
      <c r="AB25" s="14">
        <f t="shared" si="13"/>
        <v>168</v>
      </c>
      <c r="AC25" s="35">
        <f>W25/F25</f>
        <v>0.68939393939393945</v>
      </c>
      <c r="AD25" s="35">
        <f>X25/G25</f>
        <v>0.78723404255319152</v>
      </c>
      <c r="AE25" s="15">
        <f>Y25/H25</f>
        <v>0.70418006430868163</v>
      </c>
      <c r="AF25" s="36">
        <f>Z25/F25</f>
        <v>0.60984848484848486</v>
      </c>
      <c r="AG25" s="36">
        <f>AA25/G25</f>
        <v>0.14893617021276595</v>
      </c>
      <c r="AH25" s="15">
        <f>AB25/H25</f>
        <v>0.54019292604501612</v>
      </c>
    </row>
    <row r="26" spans="1:34" x14ac:dyDescent="0.35">
      <c r="A26" s="8">
        <v>23</v>
      </c>
      <c r="B26" s="1" t="s">
        <v>69</v>
      </c>
      <c r="C26" s="1" t="s">
        <v>70</v>
      </c>
      <c r="D26" s="1" t="s">
        <v>61</v>
      </c>
      <c r="E26" s="1" t="s">
        <v>51</v>
      </c>
      <c r="F26" s="9">
        <v>1882</v>
      </c>
      <c r="G26" s="9">
        <v>327</v>
      </c>
      <c r="H26" s="10">
        <f t="shared" si="10"/>
        <v>2209</v>
      </c>
      <c r="I26" s="17">
        <v>965</v>
      </c>
      <c r="J26" s="17">
        <v>280</v>
      </c>
      <c r="K26" s="17">
        <v>180</v>
      </c>
      <c r="L26" s="17">
        <f t="shared" si="1"/>
        <v>1245</v>
      </c>
      <c r="M26" s="18">
        <f t="shared" si="2"/>
        <v>-100</v>
      </c>
      <c r="N26" s="19">
        <v>29</v>
      </c>
      <c r="O26" s="19">
        <v>79</v>
      </c>
      <c r="P26" s="19">
        <v>85</v>
      </c>
      <c r="Q26" s="19">
        <f t="shared" si="3"/>
        <v>108</v>
      </c>
      <c r="R26" s="20">
        <f t="shared" si="4"/>
        <v>6</v>
      </c>
      <c r="S26" s="21">
        <f t="shared" si="5"/>
        <v>1353</v>
      </c>
      <c r="T26" s="21">
        <f t="shared" si="6"/>
        <v>359</v>
      </c>
      <c r="U26" s="21">
        <f>K26+P26</f>
        <v>265</v>
      </c>
      <c r="V26" s="21">
        <f t="shared" si="11"/>
        <v>-1088</v>
      </c>
      <c r="W26" s="11">
        <f>I26+J26+K26</f>
        <v>1425</v>
      </c>
      <c r="X26" s="11">
        <f>N26+O26+P26</f>
        <v>193</v>
      </c>
      <c r="Y26" s="12">
        <f t="shared" si="12"/>
        <v>1618</v>
      </c>
      <c r="Z26" s="13">
        <f>I26+K26</f>
        <v>1145</v>
      </c>
      <c r="AA26" s="13">
        <f>N26+P26</f>
        <v>114</v>
      </c>
      <c r="AB26" s="14">
        <f t="shared" si="13"/>
        <v>1259</v>
      </c>
      <c r="AC26" s="35">
        <f>W26/F26</f>
        <v>0.75717321997874598</v>
      </c>
      <c r="AD26" s="35">
        <f>X26/G26</f>
        <v>0.59021406727828751</v>
      </c>
      <c r="AE26" s="15">
        <f>Y26/H26</f>
        <v>0.73245812584880032</v>
      </c>
      <c r="AF26" s="36">
        <f>Z26/F26</f>
        <v>0.60839532412327313</v>
      </c>
      <c r="AG26" s="36">
        <f>AA26/G26</f>
        <v>0.34862385321100919</v>
      </c>
      <c r="AH26" s="15">
        <f>AB26/H26</f>
        <v>0.5699411498415573</v>
      </c>
    </row>
    <row r="27" spans="1:34" x14ac:dyDescent="0.35">
      <c r="A27" s="8">
        <v>24</v>
      </c>
      <c r="B27" s="1" t="s">
        <v>71</v>
      </c>
      <c r="C27" s="1" t="s">
        <v>72</v>
      </c>
      <c r="D27" s="1" t="s">
        <v>15</v>
      </c>
      <c r="E27" s="1" t="s">
        <v>51</v>
      </c>
      <c r="F27" s="9">
        <v>336</v>
      </c>
      <c r="G27" s="9">
        <v>32</v>
      </c>
      <c r="H27" s="10">
        <f t="shared" si="10"/>
        <v>368</v>
      </c>
      <c r="I27" s="17">
        <v>165</v>
      </c>
      <c r="J27" s="17">
        <v>28</v>
      </c>
      <c r="K27" s="17">
        <v>51</v>
      </c>
      <c r="L27" s="17">
        <f t="shared" si="1"/>
        <v>193</v>
      </c>
      <c r="M27" s="18">
        <f t="shared" si="2"/>
        <v>23</v>
      </c>
      <c r="N27" s="19">
        <v>5</v>
      </c>
      <c r="O27" s="19">
        <v>12</v>
      </c>
      <c r="P27" s="19">
        <v>12</v>
      </c>
      <c r="Q27" s="19">
        <f t="shared" si="3"/>
        <v>17</v>
      </c>
      <c r="R27" s="20">
        <f t="shared" si="4"/>
        <v>0</v>
      </c>
      <c r="S27" s="21">
        <f t="shared" si="5"/>
        <v>210</v>
      </c>
      <c r="T27" s="21">
        <f t="shared" si="6"/>
        <v>40</v>
      </c>
      <c r="U27" s="21">
        <f>K27+P27</f>
        <v>63</v>
      </c>
      <c r="V27" s="21">
        <f t="shared" si="11"/>
        <v>-147</v>
      </c>
      <c r="W27" s="11">
        <f>I27+J27+K27</f>
        <v>244</v>
      </c>
      <c r="X27" s="11">
        <f>N27+O27+P27</f>
        <v>29</v>
      </c>
      <c r="Y27" s="12">
        <f t="shared" si="12"/>
        <v>273</v>
      </c>
      <c r="Z27" s="13">
        <f>I27+K27</f>
        <v>216</v>
      </c>
      <c r="AA27" s="13">
        <f>N27+P27</f>
        <v>17</v>
      </c>
      <c r="AB27" s="14">
        <f t="shared" si="13"/>
        <v>233</v>
      </c>
      <c r="AC27" s="35">
        <f>W27/F27</f>
        <v>0.72619047619047616</v>
      </c>
      <c r="AD27" s="35">
        <f>X27/G27</f>
        <v>0.90625</v>
      </c>
      <c r="AE27" s="15">
        <f>Y27/H27</f>
        <v>0.74184782608695654</v>
      </c>
      <c r="AF27" s="36">
        <f>Z27/F27</f>
        <v>0.6428571428571429</v>
      </c>
      <c r="AG27" s="36">
        <f>AA27/G27</f>
        <v>0.53125</v>
      </c>
      <c r="AH27" s="15">
        <f>AB27/H27</f>
        <v>0.63315217391304346</v>
      </c>
    </row>
    <row r="28" spans="1:34" x14ac:dyDescent="0.35">
      <c r="A28" s="8">
        <v>25</v>
      </c>
      <c r="B28" s="1" t="s">
        <v>73</v>
      </c>
      <c r="C28" s="1" t="s">
        <v>74</v>
      </c>
      <c r="D28" s="1" t="s">
        <v>15</v>
      </c>
      <c r="E28" s="1" t="s">
        <v>48</v>
      </c>
      <c r="F28" s="9">
        <v>355</v>
      </c>
      <c r="G28" s="9">
        <v>49</v>
      </c>
      <c r="H28" s="10">
        <f t="shared" si="10"/>
        <v>404</v>
      </c>
      <c r="I28" s="17">
        <v>74</v>
      </c>
      <c r="J28" s="17">
        <v>36</v>
      </c>
      <c r="K28" s="17">
        <v>5</v>
      </c>
      <c r="L28" s="17">
        <f t="shared" si="1"/>
        <v>110</v>
      </c>
      <c r="M28" s="18">
        <f t="shared" si="2"/>
        <v>-31</v>
      </c>
      <c r="N28" s="19">
        <v>1</v>
      </c>
      <c r="O28" s="19">
        <v>3</v>
      </c>
      <c r="P28" s="19">
        <v>1</v>
      </c>
      <c r="Q28" s="19">
        <f t="shared" si="3"/>
        <v>4</v>
      </c>
      <c r="R28" s="20">
        <f t="shared" si="4"/>
        <v>-2</v>
      </c>
      <c r="S28" s="21">
        <f t="shared" si="5"/>
        <v>114</v>
      </c>
      <c r="T28" s="21">
        <f t="shared" si="6"/>
        <v>39</v>
      </c>
      <c r="U28" s="21">
        <f>K28+P28</f>
        <v>6</v>
      </c>
      <c r="V28" s="21">
        <f t="shared" si="11"/>
        <v>-108</v>
      </c>
      <c r="W28" s="11">
        <f>I28+J28+K28</f>
        <v>115</v>
      </c>
      <c r="X28" s="11">
        <f>N28+O28+P28</f>
        <v>5</v>
      </c>
      <c r="Y28" s="12">
        <f t="shared" si="12"/>
        <v>120</v>
      </c>
      <c r="Z28" s="13">
        <f>I28+K28</f>
        <v>79</v>
      </c>
      <c r="AA28" s="13">
        <f>N28+P28</f>
        <v>2</v>
      </c>
      <c r="AB28" s="14">
        <f t="shared" si="13"/>
        <v>81</v>
      </c>
      <c r="AC28" s="35">
        <f>W28/F28</f>
        <v>0.323943661971831</v>
      </c>
      <c r="AD28" s="35">
        <f>X28/G28</f>
        <v>0.10204081632653061</v>
      </c>
      <c r="AE28" s="15">
        <f>Y28/H28</f>
        <v>0.29702970297029702</v>
      </c>
      <c r="AF28" s="36">
        <f>Z28/F28</f>
        <v>0.22253521126760564</v>
      </c>
      <c r="AG28" s="36">
        <f>AA28/G28</f>
        <v>4.0816326530612242E-2</v>
      </c>
      <c r="AH28" s="15">
        <f>AB28/H28</f>
        <v>0.20049504950495051</v>
      </c>
    </row>
    <row r="29" spans="1:34" x14ac:dyDescent="0.35">
      <c r="A29" s="8">
        <v>26</v>
      </c>
      <c r="B29" s="1" t="s">
        <v>75</v>
      </c>
      <c r="C29" s="1" t="s">
        <v>76</v>
      </c>
      <c r="D29" s="1" t="s">
        <v>15</v>
      </c>
      <c r="E29" s="1" t="s">
        <v>68</v>
      </c>
      <c r="F29" s="9">
        <v>259</v>
      </c>
      <c r="G29" s="9">
        <v>35</v>
      </c>
      <c r="H29" s="10">
        <f t="shared" si="10"/>
        <v>294</v>
      </c>
      <c r="I29" s="17">
        <v>147</v>
      </c>
      <c r="J29" s="17">
        <v>40</v>
      </c>
      <c r="K29" s="17">
        <v>29</v>
      </c>
      <c r="L29" s="17">
        <f t="shared" si="1"/>
        <v>187</v>
      </c>
      <c r="M29" s="18">
        <f t="shared" si="2"/>
        <v>-11</v>
      </c>
      <c r="N29" s="19">
        <v>4</v>
      </c>
      <c r="O29" s="19">
        <v>24</v>
      </c>
      <c r="P29" s="19">
        <v>8</v>
      </c>
      <c r="Q29" s="19">
        <f t="shared" si="3"/>
        <v>28</v>
      </c>
      <c r="R29" s="20">
        <f t="shared" si="4"/>
        <v>-16</v>
      </c>
      <c r="S29" s="21">
        <f t="shared" si="5"/>
        <v>215</v>
      </c>
      <c r="T29" s="21">
        <f t="shared" si="6"/>
        <v>64</v>
      </c>
      <c r="U29" s="21">
        <f>K29+P29</f>
        <v>37</v>
      </c>
      <c r="V29" s="21">
        <f t="shared" si="11"/>
        <v>-178</v>
      </c>
      <c r="W29" s="11">
        <f>I29+J29+K29</f>
        <v>216</v>
      </c>
      <c r="X29" s="11">
        <f>N29+O29+P29</f>
        <v>36</v>
      </c>
      <c r="Y29" s="12">
        <f t="shared" si="12"/>
        <v>252</v>
      </c>
      <c r="Z29" s="13">
        <f>I29+K29</f>
        <v>176</v>
      </c>
      <c r="AA29" s="13">
        <f>N29+P29</f>
        <v>12</v>
      </c>
      <c r="AB29" s="14">
        <f t="shared" si="13"/>
        <v>188</v>
      </c>
      <c r="AC29" s="35">
        <f>W29/F29</f>
        <v>0.83397683397683398</v>
      </c>
      <c r="AD29" s="35">
        <f>X29/G29</f>
        <v>1.0285714285714285</v>
      </c>
      <c r="AE29" s="15">
        <f>Y29/H29</f>
        <v>0.8571428571428571</v>
      </c>
      <c r="AF29" s="36">
        <f>Z29/F29</f>
        <v>0.67953667953667951</v>
      </c>
      <c r="AG29" s="36">
        <f>AA29/G29</f>
        <v>0.34285714285714286</v>
      </c>
      <c r="AH29" s="15">
        <f>AB29/H29</f>
        <v>0.63945578231292521</v>
      </c>
    </row>
    <row r="30" spans="1:34" x14ac:dyDescent="0.35">
      <c r="A30" s="8">
        <v>27</v>
      </c>
      <c r="B30" s="1" t="s">
        <v>77</v>
      </c>
      <c r="C30" s="1" t="s">
        <v>78</v>
      </c>
      <c r="D30" s="1" t="s">
        <v>15</v>
      </c>
      <c r="E30" s="1" t="s">
        <v>16</v>
      </c>
      <c r="F30" s="9">
        <v>338</v>
      </c>
      <c r="G30" s="9">
        <v>22</v>
      </c>
      <c r="H30" s="10">
        <f t="shared" si="10"/>
        <v>360</v>
      </c>
      <c r="I30" s="17">
        <v>93</v>
      </c>
      <c r="J30" s="17">
        <v>75</v>
      </c>
      <c r="K30" s="17">
        <v>37</v>
      </c>
      <c r="L30" s="17">
        <f t="shared" si="1"/>
        <v>168</v>
      </c>
      <c r="M30" s="18">
        <f t="shared" si="2"/>
        <v>-38</v>
      </c>
      <c r="N30" s="19">
        <v>3</v>
      </c>
      <c r="O30" s="19">
        <v>8</v>
      </c>
      <c r="P30" s="19">
        <v>3</v>
      </c>
      <c r="Q30" s="19">
        <f t="shared" si="3"/>
        <v>11</v>
      </c>
      <c r="R30" s="20">
        <f t="shared" si="4"/>
        <v>-5</v>
      </c>
      <c r="S30" s="21">
        <f t="shared" si="5"/>
        <v>179</v>
      </c>
      <c r="T30" s="21">
        <f t="shared" si="6"/>
        <v>83</v>
      </c>
      <c r="U30" s="21">
        <f>K30+P30</f>
        <v>40</v>
      </c>
      <c r="V30" s="21">
        <f t="shared" si="11"/>
        <v>-139</v>
      </c>
      <c r="W30" s="11">
        <f>I30+J30+K30</f>
        <v>205</v>
      </c>
      <c r="X30" s="11">
        <f>N30+O30+P30</f>
        <v>14</v>
      </c>
      <c r="Y30" s="12">
        <f t="shared" si="12"/>
        <v>219</v>
      </c>
      <c r="Z30" s="13">
        <f>I30+K30</f>
        <v>130</v>
      </c>
      <c r="AA30" s="13">
        <f>N30+P30</f>
        <v>6</v>
      </c>
      <c r="AB30" s="14">
        <f t="shared" si="13"/>
        <v>136</v>
      </c>
      <c r="AC30" s="35">
        <f>W30/F30</f>
        <v>0.60650887573964496</v>
      </c>
      <c r="AD30" s="35">
        <f>X30/G30</f>
        <v>0.63636363636363635</v>
      </c>
      <c r="AE30" s="15">
        <f>Y30/H30</f>
        <v>0.60833333333333328</v>
      </c>
      <c r="AF30" s="36">
        <f>Z30/F30</f>
        <v>0.38461538461538464</v>
      </c>
      <c r="AG30" s="36">
        <f>AA30/G30</f>
        <v>0.27272727272727271</v>
      </c>
      <c r="AH30" s="15">
        <f>AB30/H30</f>
        <v>0.37777777777777777</v>
      </c>
    </row>
    <row r="31" spans="1:34" x14ac:dyDescent="0.35">
      <c r="A31" s="8">
        <v>28</v>
      </c>
      <c r="B31" s="1" t="s">
        <v>79</v>
      </c>
      <c r="C31" s="1" t="s">
        <v>80</v>
      </c>
      <c r="D31" s="1" t="s">
        <v>15</v>
      </c>
      <c r="E31" s="1" t="s">
        <v>37</v>
      </c>
      <c r="F31" s="9">
        <v>343</v>
      </c>
      <c r="G31" s="9">
        <v>31</v>
      </c>
      <c r="H31" s="10">
        <f t="shared" si="10"/>
        <v>374</v>
      </c>
      <c r="I31" s="17">
        <v>114</v>
      </c>
      <c r="J31" s="17">
        <v>20</v>
      </c>
      <c r="K31" s="17">
        <v>35</v>
      </c>
      <c r="L31" s="17">
        <f t="shared" si="1"/>
        <v>134</v>
      </c>
      <c r="M31" s="18">
        <f t="shared" si="2"/>
        <v>15</v>
      </c>
      <c r="N31" s="19">
        <v>1</v>
      </c>
      <c r="O31" s="19">
        <v>10</v>
      </c>
      <c r="P31" s="19">
        <v>3</v>
      </c>
      <c r="Q31" s="19">
        <f t="shared" si="3"/>
        <v>11</v>
      </c>
      <c r="R31" s="20">
        <f t="shared" si="4"/>
        <v>-7</v>
      </c>
      <c r="S31" s="21">
        <f t="shared" si="5"/>
        <v>145</v>
      </c>
      <c r="T31" s="21">
        <f t="shared" si="6"/>
        <v>30</v>
      </c>
      <c r="U31" s="21">
        <f>K31+P31</f>
        <v>38</v>
      </c>
      <c r="V31" s="21">
        <f t="shared" si="11"/>
        <v>-107</v>
      </c>
      <c r="W31" s="11">
        <f>I31+J31+K31</f>
        <v>169</v>
      </c>
      <c r="X31" s="11">
        <f>N31+O31+P31</f>
        <v>14</v>
      </c>
      <c r="Y31" s="12">
        <f t="shared" si="12"/>
        <v>183</v>
      </c>
      <c r="Z31" s="13">
        <f>I31+K31</f>
        <v>149</v>
      </c>
      <c r="AA31" s="13">
        <f>N31+P31</f>
        <v>4</v>
      </c>
      <c r="AB31" s="14">
        <f t="shared" si="13"/>
        <v>153</v>
      </c>
      <c r="AC31" s="35">
        <f>W31/F31</f>
        <v>0.49271137026239065</v>
      </c>
      <c r="AD31" s="35">
        <f>X31/G31</f>
        <v>0.45161290322580644</v>
      </c>
      <c r="AE31" s="15">
        <f>Y31/H31</f>
        <v>0.48930481283422461</v>
      </c>
      <c r="AF31" s="36">
        <f>Z31/F31</f>
        <v>0.43440233236151604</v>
      </c>
      <c r="AG31" s="36">
        <f>AA31/G31</f>
        <v>0.12903225806451613</v>
      </c>
      <c r="AH31" s="15">
        <f>AB31/H31</f>
        <v>0.40909090909090912</v>
      </c>
    </row>
    <row r="32" spans="1:34" x14ac:dyDescent="0.35">
      <c r="A32" s="8">
        <v>29</v>
      </c>
      <c r="B32" s="1" t="s">
        <v>81</v>
      </c>
      <c r="C32" s="1" t="s">
        <v>82</v>
      </c>
      <c r="D32" s="1" t="s">
        <v>15</v>
      </c>
      <c r="E32" s="1" t="s">
        <v>34</v>
      </c>
      <c r="F32" s="9">
        <v>330</v>
      </c>
      <c r="G32" s="9">
        <v>25</v>
      </c>
      <c r="H32" s="10">
        <f t="shared" si="10"/>
        <v>355</v>
      </c>
      <c r="I32" s="17">
        <v>112</v>
      </c>
      <c r="J32" s="17">
        <v>30</v>
      </c>
      <c r="K32" s="17">
        <v>29</v>
      </c>
      <c r="L32" s="17">
        <f t="shared" si="1"/>
        <v>142</v>
      </c>
      <c r="M32" s="18">
        <f t="shared" si="2"/>
        <v>-1</v>
      </c>
      <c r="N32" s="19">
        <v>1</v>
      </c>
      <c r="O32" s="19">
        <v>10</v>
      </c>
      <c r="P32" s="19">
        <v>6</v>
      </c>
      <c r="Q32" s="19">
        <f t="shared" si="3"/>
        <v>11</v>
      </c>
      <c r="R32" s="20">
        <f t="shared" si="4"/>
        <v>-4</v>
      </c>
      <c r="S32" s="21">
        <f t="shared" si="5"/>
        <v>153</v>
      </c>
      <c r="T32" s="21">
        <f t="shared" si="6"/>
        <v>40</v>
      </c>
      <c r="U32" s="21">
        <f>K32+P32</f>
        <v>35</v>
      </c>
      <c r="V32" s="21">
        <f t="shared" si="11"/>
        <v>-118</v>
      </c>
      <c r="W32" s="11">
        <f>I32+J32+K32</f>
        <v>171</v>
      </c>
      <c r="X32" s="11">
        <f>N32+O32+P32</f>
        <v>17</v>
      </c>
      <c r="Y32" s="12">
        <f t="shared" si="12"/>
        <v>188</v>
      </c>
      <c r="Z32" s="13">
        <f>I32+K32</f>
        <v>141</v>
      </c>
      <c r="AA32" s="13">
        <f>N32+P32</f>
        <v>7</v>
      </c>
      <c r="AB32" s="14">
        <f t="shared" si="13"/>
        <v>148</v>
      </c>
      <c r="AC32" s="35">
        <f>W32/F32</f>
        <v>0.51818181818181819</v>
      </c>
      <c r="AD32" s="35">
        <f>X32/G32</f>
        <v>0.68</v>
      </c>
      <c r="AE32" s="15">
        <f>Y32/H32</f>
        <v>0.52957746478873235</v>
      </c>
      <c r="AF32" s="36">
        <f>Z32/F32</f>
        <v>0.42727272727272725</v>
      </c>
      <c r="AG32" s="36">
        <f>AA32/G32</f>
        <v>0.28000000000000003</v>
      </c>
      <c r="AH32" s="15">
        <f>AB32/H32</f>
        <v>0.41690140845070423</v>
      </c>
    </row>
    <row r="33" spans="1:34" x14ac:dyDescent="0.35">
      <c r="A33" s="8">
        <v>30</v>
      </c>
      <c r="B33" s="1" t="s">
        <v>83</v>
      </c>
      <c r="C33" s="1" t="s">
        <v>84</v>
      </c>
      <c r="D33" s="1" t="s">
        <v>61</v>
      </c>
      <c r="E33" s="1" t="s">
        <v>85</v>
      </c>
      <c r="F33" s="9">
        <v>2078</v>
      </c>
      <c r="G33" s="9">
        <v>235</v>
      </c>
      <c r="H33" s="10">
        <f t="shared" si="10"/>
        <v>2313</v>
      </c>
      <c r="I33" s="17">
        <v>780</v>
      </c>
      <c r="J33" s="17">
        <v>222</v>
      </c>
      <c r="K33" s="17">
        <v>165</v>
      </c>
      <c r="L33" s="17">
        <f t="shared" si="1"/>
        <v>1002</v>
      </c>
      <c r="M33" s="18">
        <f t="shared" si="2"/>
        <v>-57</v>
      </c>
      <c r="N33" s="19">
        <v>30</v>
      </c>
      <c r="O33" s="19">
        <v>81</v>
      </c>
      <c r="P33" s="19">
        <v>51</v>
      </c>
      <c r="Q33" s="19">
        <f t="shared" si="3"/>
        <v>111</v>
      </c>
      <c r="R33" s="20">
        <f t="shared" si="4"/>
        <v>-30</v>
      </c>
      <c r="S33" s="21">
        <f t="shared" si="5"/>
        <v>1113</v>
      </c>
      <c r="T33" s="21">
        <f t="shared" si="6"/>
        <v>303</v>
      </c>
      <c r="U33" s="21">
        <f>K33+P33</f>
        <v>216</v>
      </c>
      <c r="V33" s="21">
        <f t="shared" si="11"/>
        <v>-897</v>
      </c>
      <c r="W33" s="11">
        <f>I33+J33+K33</f>
        <v>1167</v>
      </c>
      <c r="X33" s="11">
        <f>N33+O33+P33</f>
        <v>162</v>
      </c>
      <c r="Y33" s="12">
        <f t="shared" si="12"/>
        <v>1329</v>
      </c>
      <c r="Z33" s="13">
        <f>I33+K33</f>
        <v>945</v>
      </c>
      <c r="AA33" s="13">
        <f>N33+P33</f>
        <v>81</v>
      </c>
      <c r="AB33" s="14">
        <f t="shared" si="13"/>
        <v>1026</v>
      </c>
      <c r="AC33" s="35">
        <f>W33/F33</f>
        <v>0.56159769008662175</v>
      </c>
      <c r="AD33" s="35">
        <f>X33/G33</f>
        <v>0.68936170212765957</v>
      </c>
      <c r="AE33" s="15">
        <f>Y33/H33</f>
        <v>0.57457846952010372</v>
      </c>
      <c r="AF33" s="36">
        <f>Z33/F33</f>
        <v>0.45476419634263715</v>
      </c>
      <c r="AG33" s="36">
        <f>AA33/G33</f>
        <v>0.34468085106382979</v>
      </c>
      <c r="AH33" s="15">
        <f>AB33/H33</f>
        <v>0.44357976653696496</v>
      </c>
    </row>
    <row r="34" spans="1:34" x14ac:dyDescent="0.35">
      <c r="A34" s="8">
        <v>31</v>
      </c>
      <c r="B34" s="1" t="s">
        <v>86</v>
      </c>
      <c r="C34" s="1" t="s">
        <v>87</v>
      </c>
      <c r="D34" s="1" t="s">
        <v>15</v>
      </c>
      <c r="E34" s="1" t="s">
        <v>88</v>
      </c>
      <c r="F34" s="9">
        <v>294</v>
      </c>
      <c r="G34" s="9">
        <v>15</v>
      </c>
      <c r="H34" s="10">
        <f t="shared" si="10"/>
        <v>309</v>
      </c>
      <c r="I34" s="17">
        <v>49</v>
      </c>
      <c r="J34" s="17">
        <v>31</v>
      </c>
      <c r="K34" s="17">
        <v>5</v>
      </c>
      <c r="L34" s="17">
        <f t="shared" si="1"/>
        <v>80</v>
      </c>
      <c r="M34" s="18">
        <f t="shared" si="2"/>
        <v>-26</v>
      </c>
      <c r="N34" s="19">
        <v>0</v>
      </c>
      <c r="O34" s="19">
        <v>0</v>
      </c>
      <c r="P34" s="19">
        <v>0</v>
      </c>
      <c r="Q34" s="19">
        <f t="shared" si="3"/>
        <v>0</v>
      </c>
      <c r="R34" s="20">
        <f t="shared" si="4"/>
        <v>0</v>
      </c>
      <c r="S34" s="21">
        <f t="shared" si="5"/>
        <v>80</v>
      </c>
      <c r="T34" s="21">
        <f t="shared" si="6"/>
        <v>31</v>
      </c>
      <c r="U34" s="21">
        <f>K34+P34</f>
        <v>5</v>
      </c>
      <c r="V34" s="21">
        <f t="shared" si="11"/>
        <v>-75</v>
      </c>
      <c r="W34" s="11">
        <f>I34+J34+K34</f>
        <v>85</v>
      </c>
      <c r="X34" s="11">
        <f>N34+O34+P34</f>
        <v>0</v>
      </c>
      <c r="Y34" s="12">
        <f t="shared" si="12"/>
        <v>85</v>
      </c>
      <c r="Z34" s="13">
        <f>I34+K34</f>
        <v>54</v>
      </c>
      <c r="AA34" s="13">
        <f>N34+P34</f>
        <v>0</v>
      </c>
      <c r="AB34" s="14">
        <f t="shared" si="13"/>
        <v>54</v>
      </c>
      <c r="AC34" s="35">
        <f>W34/F34</f>
        <v>0.28911564625850339</v>
      </c>
      <c r="AD34" s="35">
        <f>X34/G34</f>
        <v>0</v>
      </c>
      <c r="AE34" s="15">
        <f>Y34/H34</f>
        <v>0.27508090614886732</v>
      </c>
      <c r="AF34" s="36">
        <f>Z34/F34</f>
        <v>0.18367346938775511</v>
      </c>
      <c r="AG34" s="36">
        <f>AA34/G34</f>
        <v>0</v>
      </c>
      <c r="AH34" s="15">
        <f>AB34/H34</f>
        <v>0.17475728155339806</v>
      </c>
    </row>
    <row r="35" spans="1:34" x14ac:dyDescent="0.35">
      <c r="A35" s="8">
        <v>32</v>
      </c>
      <c r="B35" s="1" t="s">
        <v>89</v>
      </c>
      <c r="C35" s="1" t="s">
        <v>90</v>
      </c>
      <c r="D35" s="1" t="s">
        <v>15</v>
      </c>
      <c r="E35" s="1" t="s">
        <v>16</v>
      </c>
      <c r="F35" s="9">
        <v>337</v>
      </c>
      <c r="G35" s="9">
        <v>27</v>
      </c>
      <c r="H35" s="10">
        <f t="shared" si="10"/>
        <v>364</v>
      </c>
      <c r="I35" s="17">
        <v>136</v>
      </c>
      <c r="J35" s="17">
        <v>42</v>
      </c>
      <c r="K35" s="17">
        <v>36</v>
      </c>
      <c r="L35" s="17">
        <f t="shared" si="1"/>
        <v>178</v>
      </c>
      <c r="M35" s="18">
        <f t="shared" si="2"/>
        <v>-6</v>
      </c>
      <c r="N35" s="19">
        <v>1</v>
      </c>
      <c r="O35" s="19">
        <v>1</v>
      </c>
      <c r="P35" s="19">
        <v>7</v>
      </c>
      <c r="Q35" s="19">
        <f t="shared" si="3"/>
        <v>2</v>
      </c>
      <c r="R35" s="20">
        <f t="shared" si="4"/>
        <v>6</v>
      </c>
      <c r="S35" s="21">
        <f t="shared" si="5"/>
        <v>180</v>
      </c>
      <c r="T35" s="21">
        <f t="shared" si="6"/>
        <v>43</v>
      </c>
      <c r="U35" s="21">
        <f>K35+P35</f>
        <v>43</v>
      </c>
      <c r="V35" s="21">
        <f t="shared" si="11"/>
        <v>-137</v>
      </c>
      <c r="W35" s="11">
        <f>I35+J35+K35</f>
        <v>214</v>
      </c>
      <c r="X35" s="11">
        <f>N35+O35+P35</f>
        <v>9</v>
      </c>
      <c r="Y35" s="12">
        <f t="shared" si="12"/>
        <v>223</v>
      </c>
      <c r="Z35" s="13">
        <f>I35+K35</f>
        <v>172</v>
      </c>
      <c r="AA35" s="13">
        <f>N35+P35</f>
        <v>8</v>
      </c>
      <c r="AB35" s="14">
        <f t="shared" si="13"/>
        <v>180</v>
      </c>
      <c r="AC35" s="35">
        <f>W35/F35</f>
        <v>0.63501483679525228</v>
      </c>
      <c r="AD35" s="35">
        <f>X35/G35</f>
        <v>0.33333333333333331</v>
      </c>
      <c r="AE35" s="15">
        <f>Y35/H35</f>
        <v>0.61263736263736268</v>
      </c>
      <c r="AF35" s="36">
        <f>Z35/F35</f>
        <v>0.51038575667655783</v>
      </c>
      <c r="AG35" s="36">
        <f>AA35/G35</f>
        <v>0.29629629629629628</v>
      </c>
      <c r="AH35" s="15">
        <f>AB35/H35</f>
        <v>0.49450549450549453</v>
      </c>
    </row>
    <row r="36" spans="1:34" x14ac:dyDescent="0.35">
      <c r="A36" s="8">
        <v>33</v>
      </c>
      <c r="B36" s="1" t="s">
        <v>91</v>
      </c>
      <c r="C36" s="1" t="s">
        <v>92</v>
      </c>
      <c r="D36" s="1" t="s">
        <v>15</v>
      </c>
      <c r="E36" s="1" t="s">
        <v>93</v>
      </c>
      <c r="F36" s="9">
        <v>394</v>
      </c>
      <c r="G36" s="9">
        <v>52</v>
      </c>
      <c r="H36" s="10">
        <f t="shared" si="10"/>
        <v>446</v>
      </c>
      <c r="I36" s="17">
        <v>138</v>
      </c>
      <c r="J36" s="17">
        <v>38</v>
      </c>
      <c r="K36" s="17">
        <v>25</v>
      </c>
      <c r="L36" s="17">
        <f t="shared" si="1"/>
        <v>176</v>
      </c>
      <c r="M36" s="18">
        <f t="shared" si="2"/>
        <v>-13</v>
      </c>
      <c r="N36" s="19">
        <v>9</v>
      </c>
      <c r="O36" s="19">
        <v>19</v>
      </c>
      <c r="P36" s="19">
        <v>11</v>
      </c>
      <c r="Q36" s="19">
        <f t="shared" si="3"/>
        <v>28</v>
      </c>
      <c r="R36" s="20">
        <f t="shared" si="4"/>
        <v>-8</v>
      </c>
      <c r="S36" s="21">
        <f t="shared" si="5"/>
        <v>204</v>
      </c>
      <c r="T36" s="21">
        <f t="shared" si="6"/>
        <v>57</v>
      </c>
      <c r="U36" s="21">
        <f>K36+P36</f>
        <v>36</v>
      </c>
      <c r="V36" s="21">
        <f t="shared" si="11"/>
        <v>-168</v>
      </c>
      <c r="W36" s="11">
        <f>I36+J36+K36</f>
        <v>201</v>
      </c>
      <c r="X36" s="11">
        <f>N36+O36+P36</f>
        <v>39</v>
      </c>
      <c r="Y36" s="12">
        <f t="shared" si="12"/>
        <v>240</v>
      </c>
      <c r="Z36" s="13">
        <f>I36+K36</f>
        <v>163</v>
      </c>
      <c r="AA36" s="13">
        <f>N36+P36</f>
        <v>20</v>
      </c>
      <c r="AB36" s="14">
        <f t="shared" si="13"/>
        <v>183</v>
      </c>
      <c r="AC36" s="35">
        <f>W36/F36</f>
        <v>0.51015228426395942</v>
      </c>
      <c r="AD36" s="35">
        <f>X36/G36</f>
        <v>0.75</v>
      </c>
      <c r="AE36" s="15">
        <f>Y36/H36</f>
        <v>0.53811659192825112</v>
      </c>
      <c r="AF36" s="36">
        <f>Z36/F36</f>
        <v>0.4137055837563452</v>
      </c>
      <c r="AG36" s="36">
        <f>AA36/G36</f>
        <v>0.38461538461538464</v>
      </c>
      <c r="AH36" s="15">
        <f>AB36/H36</f>
        <v>0.4103139013452915</v>
      </c>
    </row>
    <row r="37" spans="1:34" x14ac:dyDescent="0.35">
      <c r="A37" s="8">
        <v>34</v>
      </c>
      <c r="B37" s="1" t="s">
        <v>94</v>
      </c>
      <c r="C37" s="1" t="s">
        <v>95</v>
      </c>
      <c r="D37" s="1" t="s">
        <v>15</v>
      </c>
      <c r="E37" s="1" t="s">
        <v>96</v>
      </c>
      <c r="F37" s="9">
        <v>251</v>
      </c>
      <c r="G37" s="9">
        <v>43</v>
      </c>
      <c r="H37" s="10">
        <f t="shared" si="10"/>
        <v>294</v>
      </c>
      <c r="I37" s="17">
        <v>89</v>
      </c>
      <c r="J37" s="17">
        <v>25</v>
      </c>
      <c r="K37" s="17">
        <v>20</v>
      </c>
      <c r="L37" s="17">
        <f t="shared" si="1"/>
        <v>114</v>
      </c>
      <c r="M37" s="18">
        <f t="shared" si="2"/>
        <v>-5</v>
      </c>
      <c r="N37" s="19">
        <v>1</v>
      </c>
      <c r="O37" s="19">
        <v>12</v>
      </c>
      <c r="P37" s="19">
        <v>7</v>
      </c>
      <c r="Q37" s="19">
        <f t="shared" si="3"/>
        <v>13</v>
      </c>
      <c r="R37" s="20">
        <f t="shared" si="4"/>
        <v>-5</v>
      </c>
      <c r="S37" s="21">
        <f t="shared" si="5"/>
        <v>127</v>
      </c>
      <c r="T37" s="21">
        <f t="shared" si="6"/>
        <v>37</v>
      </c>
      <c r="U37" s="21">
        <f>K37+P37</f>
        <v>27</v>
      </c>
      <c r="V37" s="21">
        <f t="shared" si="11"/>
        <v>-100</v>
      </c>
      <c r="W37" s="11">
        <f>I37+J37+K37</f>
        <v>134</v>
      </c>
      <c r="X37" s="11">
        <f>N37+O37+P37</f>
        <v>20</v>
      </c>
      <c r="Y37" s="12">
        <f t="shared" si="12"/>
        <v>154</v>
      </c>
      <c r="Z37" s="13">
        <f>I37+K37</f>
        <v>109</v>
      </c>
      <c r="AA37" s="13">
        <f>N37+P37</f>
        <v>8</v>
      </c>
      <c r="AB37" s="14">
        <f t="shared" si="13"/>
        <v>117</v>
      </c>
      <c r="AC37" s="35">
        <f>W37/F37</f>
        <v>0.53386454183266929</v>
      </c>
      <c r="AD37" s="35">
        <f>X37/G37</f>
        <v>0.46511627906976744</v>
      </c>
      <c r="AE37" s="15">
        <f>Y37/H37</f>
        <v>0.52380952380952384</v>
      </c>
      <c r="AF37" s="36">
        <f>Z37/F37</f>
        <v>0.43426294820717132</v>
      </c>
      <c r="AG37" s="36">
        <f>AA37/G37</f>
        <v>0.18604651162790697</v>
      </c>
      <c r="AH37" s="15">
        <f>AB37/H37</f>
        <v>0.39795918367346939</v>
      </c>
    </row>
    <row r="38" spans="1:34" x14ac:dyDescent="0.35">
      <c r="A38" s="8">
        <v>35</v>
      </c>
      <c r="B38" s="1" t="s">
        <v>97</v>
      </c>
      <c r="C38" s="1" t="s">
        <v>98</v>
      </c>
      <c r="D38" s="1" t="s">
        <v>15</v>
      </c>
      <c r="E38" s="1" t="s">
        <v>16</v>
      </c>
      <c r="F38" s="9">
        <v>324</v>
      </c>
      <c r="G38" s="9">
        <v>58</v>
      </c>
      <c r="H38" s="10">
        <f t="shared" si="10"/>
        <v>382</v>
      </c>
      <c r="I38" s="17">
        <v>94</v>
      </c>
      <c r="J38" s="17">
        <v>49</v>
      </c>
      <c r="K38" s="17">
        <v>37</v>
      </c>
      <c r="L38" s="17">
        <f t="shared" si="1"/>
        <v>143</v>
      </c>
      <c r="M38" s="18">
        <f t="shared" si="2"/>
        <v>-12</v>
      </c>
      <c r="N38" s="19">
        <v>7</v>
      </c>
      <c r="O38" s="19">
        <v>18</v>
      </c>
      <c r="P38" s="19">
        <v>24</v>
      </c>
      <c r="Q38" s="19">
        <f t="shared" si="3"/>
        <v>25</v>
      </c>
      <c r="R38" s="20">
        <f t="shared" si="4"/>
        <v>6</v>
      </c>
      <c r="S38" s="21">
        <f t="shared" si="5"/>
        <v>168</v>
      </c>
      <c r="T38" s="21">
        <f t="shared" si="6"/>
        <v>67</v>
      </c>
      <c r="U38" s="21">
        <f>K38+P38</f>
        <v>61</v>
      </c>
      <c r="V38" s="21">
        <f t="shared" si="11"/>
        <v>-107</v>
      </c>
      <c r="W38" s="11">
        <f>I38+J38+K38</f>
        <v>180</v>
      </c>
      <c r="X38" s="11">
        <f>N38+O38+P38</f>
        <v>49</v>
      </c>
      <c r="Y38" s="12">
        <f t="shared" si="12"/>
        <v>229</v>
      </c>
      <c r="Z38" s="13">
        <f>I38+K38</f>
        <v>131</v>
      </c>
      <c r="AA38" s="13">
        <f>N38+P38</f>
        <v>31</v>
      </c>
      <c r="AB38" s="14">
        <f t="shared" si="13"/>
        <v>162</v>
      </c>
      <c r="AC38" s="35">
        <f>W38/F38</f>
        <v>0.55555555555555558</v>
      </c>
      <c r="AD38" s="35">
        <f>X38/G38</f>
        <v>0.84482758620689657</v>
      </c>
      <c r="AE38" s="15">
        <f>Y38/H38</f>
        <v>0.59947643979057597</v>
      </c>
      <c r="AF38" s="36">
        <f>Z38/F38</f>
        <v>0.40432098765432101</v>
      </c>
      <c r="AG38" s="36">
        <f>AA38/G38</f>
        <v>0.53448275862068961</v>
      </c>
      <c r="AH38" s="15">
        <f>AB38/H38</f>
        <v>0.42408376963350786</v>
      </c>
    </row>
    <row r="39" spans="1:34" x14ac:dyDescent="0.35">
      <c r="A39" s="8">
        <v>36</v>
      </c>
      <c r="B39" s="1" t="s">
        <v>99</v>
      </c>
      <c r="C39" s="1" t="s">
        <v>100</v>
      </c>
      <c r="D39" s="1" t="s">
        <v>15</v>
      </c>
      <c r="E39" s="1" t="s">
        <v>101</v>
      </c>
      <c r="F39" s="9">
        <v>409</v>
      </c>
      <c r="G39" s="9">
        <v>49</v>
      </c>
      <c r="H39" s="10">
        <f t="shared" si="10"/>
        <v>458</v>
      </c>
      <c r="I39" s="17">
        <v>181</v>
      </c>
      <c r="J39" s="17">
        <v>47</v>
      </c>
      <c r="K39" s="17">
        <v>10</v>
      </c>
      <c r="L39" s="17">
        <f t="shared" si="1"/>
        <v>228</v>
      </c>
      <c r="M39" s="18">
        <f t="shared" si="2"/>
        <v>-37</v>
      </c>
      <c r="N39" s="19">
        <v>8</v>
      </c>
      <c r="O39" s="19">
        <v>15</v>
      </c>
      <c r="P39" s="19">
        <v>9</v>
      </c>
      <c r="Q39" s="19">
        <f t="shared" si="3"/>
        <v>23</v>
      </c>
      <c r="R39" s="20">
        <f t="shared" si="4"/>
        <v>-6</v>
      </c>
      <c r="S39" s="21">
        <f t="shared" si="5"/>
        <v>251</v>
      </c>
      <c r="T39" s="21">
        <f t="shared" si="6"/>
        <v>62</v>
      </c>
      <c r="U39" s="21">
        <f>K39+P39</f>
        <v>19</v>
      </c>
      <c r="V39" s="21">
        <f t="shared" si="11"/>
        <v>-232</v>
      </c>
      <c r="W39" s="11">
        <f>I39+J39+K39</f>
        <v>238</v>
      </c>
      <c r="X39" s="11">
        <f>N39+O39+P39</f>
        <v>32</v>
      </c>
      <c r="Y39" s="12">
        <f t="shared" si="12"/>
        <v>270</v>
      </c>
      <c r="Z39" s="13">
        <f>I39+K39</f>
        <v>191</v>
      </c>
      <c r="AA39" s="13">
        <f>N39+P39</f>
        <v>17</v>
      </c>
      <c r="AB39" s="14">
        <f t="shared" si="13"/>
        <v>208</v>
      </c>
      <c r="AC39" s="35">
        <f>W39/F39</f>
        <v>0.58190709046454769</v>
      </c>
      <c r="AD39" s="35">
        <f>X39/G39</f>
        <v>0.65306122448979587</v>
      </c>
      <c r="AE39" s="15">
        <f>Y39/H39</f>
        <v>0.58951965065502188</v>
      </c>
      <c r="AF39" s="36">
        <f>Z39/F39</f>
        <v>0.4669926650366748</v>
      </c>
      <c r="AG39" s="36">
        <f>AA39/G39</f>
        <v>0.34693877551020408</v>
      </c>
      <c r="AH39" s="15">
        <f>AB39/H39</f>
        <v>0.45414847161572053</v>
      </c>
    </row>
    <row r="40" spans="1:34" x14ac:dyDescent="0.35">
      <c r="A40" s="8">
        <v>37</v>
      </c>
      <c r="B40" s="1" t="s">
        <v>102</v>
      </c>
      <c r="C40" s="1" t="s">
        <v>103</v>
      </c>
      <c r="D40" s="1" t="s">
        <v>15</v>
      </c>
      <c r="E40" s="1" t="s">
        <v>101</v>
      </c>
      <c r="F40" s="9">
        <v>407</v>
      </c>
      <c r="G40" s="9">
        <v>34</v>
      </c>
      <c r="H40" s="10">
        <f t="shared" si="10"/>
        <v>441</v>
      </c>
      <c r="I40" s="17">
        <v>142</v>
      </c>
      <c r="J40" s="17">
        <v>41</v>
      </c>
      <c r="K40" s="17">
        <v>7</v>
      </c>
      <c r="L40" s="17">
        <f t="shared" si="1"/>
        <v>183</v>
      </c>
      <c r="M40" s="18">
        <f t="shared" si="2"/>
        <v>-34</v>
      </c>
      <c r="N40" s="19">
        <v>4</v>
      </c>
      <c r="O40" s="19">
        <v>15</v>
      </c>
      <c r="P40" s="19">
        <v>6</v>
      </c>
      <c r="Q40" s="19">
        <f t="shared" si="3"/>
        <v>19</v>
      </c>
      <c r="R40" s="20">
        <f t="shared" si="4"/>
        <v>-9</v>
      </c>
      <c r="S40" s="21">
        <f t="shared" si="5"/>
        <v>202</v>
      </c>
      <c r="T40" s="21">
        <f t="shared" si="6"/>
        <v>56</v>
      </c>
      <c r="U40" s="21">
        <f>K40+P40</f>
        <v>13</v>
      </c>
      <c r="V40" s="21">
        <f t="shared" si="11"/>
        <v>-189</v>
      </c>
      <c r="W40" s="11">
        <f>I40+J40+K40</f>
        <v>190</v>
      </c>
      <c r="X40" s="11">
        <f>N40+O40+P40</f>
        <v>25</v>
      </c>
      <c r="Y40" s="12">
        <f t="shared" si="12"/>
        <v>215</v>
      </c>
      <c r="Z40" s="13">
        <f>I40+K40</f>
        <v>149</v>
      </c>
      <c r="AA40" s="13">
        <f>N40+P40</f>
        <v>10</v>
      </c>
      <c r="AB40" s="14">
        <f t="shared" si="13"/>
        <v>159</v>
      </c>
      <c r="AC40" s="35">
        <f>W40/F40</f>
        <v>0.46683046683046681</v>
      </c>
      <c r="AD40" s="35">
        <f>X40/G40</f>
        <v>0.73529411764705888</v>
      </c>
      <c r="AE40" s="15">
        <f>Y40/H40</f>
        <v>0.48752834467120182</v>
      </c>
      <c r="AF40" s="36">
        <f>Z40/F40</f>
        <v>0.36609336609336607</v>
      </c>
      <c r="AG40" s="36">
        <f>AA40/G40</f>
        <v>0.29411764705882354</v>
      </c>
      <c r="AH40" s="15">
        <f>AB40/H40</f>
        <v>0.36054421768707484</v>
      </c>
    </row>
    <row r="41" spans="1:34" x14ac:dyDescent="0.35">
      <c r="A41" s="8">
        <v>38</v>
      </c>
      <c r="B41" s="1" t="s">
        <v>104</v>
      </c>
      <c r="C41" s="1" t="s">
        <v>105</v>
      </c>
      <c r="D41" s="1" t="s">
        <v>15</v>
      </c>
      <c r="E41" s="1" t="s">
        <v>37</v>
      </c>
      <c r="F41" s="9">
        <v>372</v>
      </c>
      <c r="G41" s="9">
        <v>16</v>
      </c>
      <c r="H41" s="10">
        <f t="shared" si="10"/>
        <v>388</v>
      </c>
      <c r="I41" s="17">
        <v>161</v>
      </c>
      <c r="J41" s="17">
        <v>28</v>
      </c>
      <c r="K41" s="17">
        <v>21</v>
      </c>
      <c r="L41" s="17">
        <f t="shared" si="1"/>
        <v>189</v>
      </c>
      <c r="M41" s="18">
        <f t="shared" si="2"/>
        <v>-7</v>
      </c>
      <c r="N41" s="19">
        <v>3</v>
      </c>
      <c r="O41" s="19">
        <v>4</v>
      </c>
      <c r="P41" s="19">
        <v>4</v>
      </c>
      <c r="Q41" s="19">
        <f t="shared" si="3"/>
        <v>7</v>
      </c>
      <c r="R41" s="20">
        <f t="shared" si="4"/>
        <v>0</v>
      </c>
      <c r="S41" s="21">
        <f t="shared" si="5"/>
        <v>196</v>
      </c>
      <c r="T41" s="21">
        <f t="shared" si="6"/>
        <v>32</v>
      </c>
      <c r="U41" s="21">
        <f>K41+P41</f>
        <v>25</v>
      </c>
      <c r="V41" s="21">
        <f t="shared" si="11"/>
        <v>-171</v>
      </c>
      <c r="W41" s="11">
        <f>I41+J41+K41</f>
        <v>210</v>
      </c>
      <c r="X41" s="11">
        <f>N41+O41+P41</f>
        <v>11</v>
      </c>
      <c r="Y41" s="12">
        <f t="shared" si="12"/>
        <v>221</v>
      </c>
      <c r="Z41" s="13">
        <f>I41+K41</f>
        <v>182</v>
      </c>
      <c r="AA41" s="13">
        <f>N41+P41</f>
        <v>7</v>
      </c>
      <c r="AB41" s="14">
        <f t="shared" si="13"/>
        <v>189</v>
      </c>
      <c r="AC41" s="35">
        <f>W41/F41</f>
        <v>0.56451612903225812</v>
      </c>
      <c r="AD41" s="35">
        <f>X41/G41</f>
        <v>0.6875</v>
      </c>
      <c r="AE41" s="15">
        <f>Y41/H41</f>
        <v>0.56958762886597936</v>
      </c>
      <c r="AF41" s="36">
        <f>Z41/F41</f>
        <v>0.489247311827957</v>
      </c>
      <c r="AG41" s="36">
        <f>AA41/G41</f>
        <v>0.4375</v>
      </c>
      <c r="AH41" s="15">
        <f>AB41/H41</f>
        <v>0.48711340206185566</v>
      </c>
    </row>
    <row r="42" spans="1:34" x14ac:dyDescent="0.35">
      <c r="A42" s="8">
        <v>39</v>
      </c>
      <c r="B42" s="1" t="s">
        <v>106</v>
      </c>
      <c r="C42" s="1" t="s">
        <v>107</v>
      </c>
      <c r="D42" s="1" t="s">
        <v>61</v>
      </c>
      <c r="E42" s="1" t="s">
        <v>16</v>
      </c>
      <c r="F42" s="9">
        <v>1907</v>
      </c>
      <c r="G42" s="9">
        <v>384</v>
      </c>
      <c r="H42" s="10">
        <f t="shared" si="10"/>
        <v>2291</v>
      </c>
      <c r="I42" s="17">
        <v>716</v>
      </c>
      <c r="J42" s="17">
        <v>241</v>
      </c>
      <c r="K42" s="17">
        <v>166</v>
      </c>
      <c r="L42" s="17">
        <f t="shared" si="1"/>
        <v>957</v>
      </c>
      <c r="M42" s="18">
        <f t="shared" si="2"/>
        <v>-75</v>
      </c>
      <c r="N42" s="19">
        <v>32</v>
      </c>
      <c r="O42" s="19">
        <v>52</v>
      </c>
      <c r="P42" s="19">
        <v>60</v>
      </c>
      <c r="Q42" s="19">
        <f t="shared" si="3"/>
        <v>84</v>
      </c>
      <c r="R42" s="20">
        <f t="shared" si="4"/>
        <v>8</v>
      </c>
      <c r="S42" s="21">
        <f t="shared" si="5"/>
        <v>1041</v>
      </c>
      <c r="T42" s="21">
        <f t="shared" si="6"/>
        <v>293</v>
      </c>
      <c r="U42" s="21">
        <f>K42+P42</f>
        <v>226</v>
      </c>
      <c r="V42" s="21">
        <f t="shared" si="11"/>
        <v>-815</v>
      </c>
      <c r="W42" s="11">
        <f>I42+J42+K42</f>
        <v>1123</v>
      </c>
      <c r="X42" s="11">
        <f>N42+O42+P42</f>
        <v>144</v>
      </c>
      <c r="Y42" s="12">
        <f t="shared" si="12"/>
        <v>1267</v>
      </c>
      <c r="Z42" s="13">
        <f>I42+K42</f>
        <v>882</v>
      </c>
      <c r="AA42" s="13">
        <f>N42+P42</f>
        <v>92</v>
      </c>
      <c r="AB42" s="14">
        <f t="shared" si="13"/>
        <v>974</v>
      </c>
      <c r="AC42" s="35">
        <f>W42/F42</f>
        <v>0.58888306240167798</v>
      </c>
      <c r="AD42" s="35">
        <f>X42/G42</f>
        <v>0.375</v>
      </c>
      <c r="AE42" s="15">
        <f>Y42/H42</f>
        <v>0.5530336097773898</v>
      </c>
      <c r="AF42" s="36">
        <f>Z42/F42</f>
        <v>0.4625065547981122</v>
      </c>
      <c r="AG42" s="36">
        <f>AA42/G42</f>
        <v>0.23958333333333334</v>
      </c>
      <c r="AH42" s="15">
        <f>AB42/H42</f>
        <v>0.42514185945002181</v>
      </c>
    </row>
    <row r="43" spans="1:34" x14ac:dyDescent="0.35">
      <c r="A43" s="8">
        <v>40</v>
      </c>
      <c r="B43" s="1" t="s">
        <v>108</v>
      </c>
      <c r="C43" s="1" t="s">
        <v>109</v>
      </c>
      <c r="D43" s="1" t="s">
        <v>15</v>
      </c>
      <c r="E43" s="1" t="s">
        <v>48</v>
      </c>
      <c r="F43" s="9">
        <v>357</v>
      </c>
      <c r="G43" s="9">
        <v>80</v>
      </c>
      <c r="H43" s="10">
        <f t="shared" si="10"/>
        <v>437</v>
      </c>
      <c r="I43" s="17">
        <v>90</v>
      </c>
      <c r="J43" s="17">
        <v>82</v>
      </c>
      <c r="K43" s="17">
        <v>27</v>
      </c>
      <c r="L43" s="17">
        <f t="shared" si="1"/>
        <v>172</v>
      </c>
      <c r="M43" s="18">
        <f t="shared" si="2"/>
        <v>-55</v>
      </c>
      <c r="N43" s="19">
        <v>4</v>
      </c>
      <c r="O43" s="19">
        <v>29</v>
      </c>
      <c r="P43" s="19">
        <v>7</v>
      </c>
      <c r="Q43" s="19">
        <f t="shared" si="3"/>
        <v>33</v>
      </c>
      <c r="R43" s="20">
        <f t="shared" si="4"/>
        <v>-22</v>
      </c>
      <c r="S43" s="21">
        <f t="shared" si="5"/>
        <v>205</v>
      </c>
      <c r="T43" s="21">
        <f t="shared" si="6"/>
        <v>111</v>
      </c>
      <c r="U43" s="21">
        <f>K43+P43</f>
        <v>34</v>
      </c>
      <c r="V43" s="21">
        <f t="shared" si="11"/>
        <v>-171</v>
      </c>
      <c r="W43" s="11">
        <f>I43+J43+K43</f>
        <v>199</v>
      </c>
      <c r="X43" s="11">
        <f>N43+O43+P43</f>
        <v>40</v>
      </c>
      <c r="Y43" s="12">
        <f t="shared" si="12"/>
        <v>239</v>
      </c>
      <c r="Z43" s="13">
        <f>I43+K43</f>
        <v>117</v>
      </c>
      <c r="AA43" s="13">
        <f>N43+P43</f>
        <v>11</v>
      </c>
      <c r="AB43" s="14">
        <f t="shared" si="13"/>
        <v>128</v>
      </c>
      <c r="AC43" s="35">
        <f>W43/F43</f>
        <v>0.55742296918767509</v>
      </c>
      <c r="AD43" s="35">
        <f>X43/G43</f>
        <v>0.5</v>
      </c>
      <c r="AE43" s="15">
        <f>Y43/H43</f>
        <v>0.54691075514874143</v>
      </c>
      <c r="AF43" s="36">
        <f>Z43/F43</f>
        <v>0.32773109243697479</v>
      </c>
      <c r="AG43" s="36">
        <f>AA43/G43</f>
        <v>0.13750000000000001</v>
      </c>
      <c r="AH43" s="15">
        <f>AB43/H43</f>
        <v>0.29290617848970252</v>
      </c>
    </row>
    <row r="44" spans="1:34" x14ac:dyDescent="0.35">
      <c r="A44" s="8">
        <v>41</v>
      </c>
      <c r="B44" s="1" t="s">
        <v>110</v>
      </c>
      <c r="C44" s="1" t="s">
        <v>111</v>
      </c>
      <c r="D44" s="1" t="s">
        <v>15</v>
      </c>
      <c r="E44" s="1" t="s">
        <v>88</v>
      </c>
      <c r="F44" s="9">
        <v>347</v>
      </c>
      <c r="G44" s="9">
        <v>18</v>
      </c>
      <c r="H44" s="10">
        <f t="shared" si="10"/>
        <v>365</v>
      </c>
      <c r="I44" s="17">
        <v>154</v>
      </c>
      <c r="J44" s="17">
        <v>26</v>
      </c>
      <c r="K44" s="17">
        <v>15</v>
      </c>
      <c r="L44" s="17">
        <f t="shared" si="1"/>
        <v>180</v>
      </c>
      <c r="M44" s="18">
        <f t="shared" si="2"/>
        <v>-11</v>
      </c>
      <c r="N44" s="19">
        <v>3</v>
      </c>
      <c r="O44" s="19">
        <v>0</v>
      </c>
      <c r="P44" s="19">
        <v>3</v>
      </c>
      <c r="Q44" s="19">
        <f t="shared" si="3"/>
        <v>3</v>
      </c>
      <c r="R44" s="20">
        <f t="shared" si="4"/>
        <v>3</v>
      </c>
      <c r="S44" s="21">
        <f t="shared" si="5"/>
        <v>183</v>
      </c>
      <c r="T44" s="21">
        <f t="shared" si="6"/>
        <v>26</v>
      </c>
      <c r="U44" s="21">
        <f>K44+P44</f>
        <v>18</v>
      </c>
      <c r="V44" s="21">
        <f t="shared" si="11"/>
        <v>-165</v>
      </c>
      <c r="W44" s="11">
        <f>I44+J44+K44</f>
        <v>195</v>
      </c>
      <c r="X44" s="11">
        <f>N44+O44+P44</f>
        <v>6</v>
      </c>
      <c r="Y44" s="12">
        <f t="shared" si="12"/>
        <v>201</v>
      </c>
      <c r="Z44" s="13">
        <f>I44+K44</f>
        <v>169</v>
      </c>
      <c r="AA44" s="13">
        <f>N44+P44</f>
        <v>6</v>
      </c>
      <c r="AB44" s="14">
        <f t="shared" si="13"/>
        <v>175</v>
      </c>
      <c r="AC44" s="35">
        <f>W44/F44</f>
        <v>0.56195965417867433</v>
      </c>
      <c r="AD44" s="35">
        <f>X44/G44</f>
        <v>0.33333333333333331</v>
      </c>
      <c r="AE44" s="15">
        <f>Y44/H44</f>
        <v>0.55068493150684927</v>
      </c>
      <c r="AF44" s="36">
        <f>Z44/F44</f>
        <v>0.48703170028818443</v>
      </c>
      <c r="AG44" s="36">
        <f>AA44/G44</f>
        <v>0.33333333333333331</v>
      </c>
      <c r="AH44" s="15">
        <f>AB44/H44</f>
        <v>0.47945205479452052</v>
      </c>
    </row>
    <row r="45" spans="1:34" x14ac:dyDescent="0.35">
      <c r="A45" s="8">
        <v>42</v>
      </c>
      <c r="B45" s="1" t="s">
        <v>112</v>
      </c>
      <c r="C45" s="1" t="s">
        <v>113</v>
      </c>
      <c r="D45" s="1" t="s">
        <v>61</v>
      </c>
      <c r="E45" s="1" t="s">
        <v>29</v>
      </c>
      <c r="F45" s="9">
        <v>1865</v>
      </c>
      <c r="G45" s="9">
        <v>155</v>
      </c>
      <c r="H45" s="10">
        <f t="shared" si="10"/>
        <v>2020</v>
      </c>
      <c r="I45" s="17">
        <v>628</v>
      </c>
      <c r="J45" s="17">
        <v>154</v>
      </c>
      <c r="K45" s="17">
        <v>150</v>
      </c>
      <c r="L45" s="17">
        <f t="shared" si="1"/>
        <v>782</v>
      </c>
      <c r="M45" s="18">
        <f t="shared" si="2"/>
        <v>-4</v>
      </c>
      <c r="N45" s="19">
        <v>29</v>
      </c>
      <c r="O45" s="19">
        <v>28</v>
      </c>
      <c r="P45" s="19">
        <v>60</v>
      </c>
      <c r="Q45" s="19">
        <f t="shared" si="3"/>
        <v>57</v>
      </c>
      <c r="R45" s="20">
        <f t="shared" si="4"/>
        <v>32</v>
      </c>
      <c r="S45" s="21">
        <f t="shared" si="5"/>
        <v>839</v>
      </c>
      <c r="T45" s="21">
        <f t="shared" si="6"/>
        <v>182</v>
      </c>
      <c r="U45" s="21">
        <f>K45+P45</f>
        <v>210</v>
      </c>
      <c r="V45" s="21">
        <f t="shared" si="11"/>
        <v>-629</v>
      </c>
      <c r="W45" s="11">
        <f>I45+J45+K45</f>
        <v>932</v>
      </c>
      <c r="X45" s="11">
        <f>N45+O45+P45</f>
        <v>117</v>
      </c>
      <c r="Y45" s="12">
        <f t="shared" si="12"/>
        <v>1049</v>
      </c>
      <c r="Z45" s="13">
        <f>I45+K45</f>
        <v>778</v>
      </c>
      <c r="AA45" s="13">
        <f>N45+P45</f>
        <v>89</v>
      </c>
      <c r="AB45" s="14">
        <f t="shared" si="13"/>
        <v>867</v>
      </c>
      <c r="AC45" s="35">
        <f>W45/F45</f>
        <v>0.4997319034852547</v>
      </c>
      <c r="AD45" s="35">
        <f>X45/G45</f>
        <v>0.75483870967741939</v>
      </c>
      <c r="AE45" s="15">
        <f>Y45/H45</f>
        <v>0.51930693069306932</v>
      </c>
      <c r="AF45" s="36">
        <f>Z45/F45</f>
        <v>0.41715817694369972</v>
      </c>
      <c r="AG45" s="36">
        <f>AA45/G45</f>
        <v>0.5741935483870968</v>
      </c>
      <c r="AH45" s="15">
        <f>AB45/H45</f>
        <v>0.4292079207920792</v>
      </c>
    </row>
    <row r="46" spans="1:34" x14ac:dyDescent="0.35">
      <c r="A46" s="8">
        <v>43</v>
      </c>
      <c r="B46" s="1" t="s">
        <v>114</v>
      </c>
      <c r="C46" s="1" t="s">
        <v>115</v>
      </c>
      <c r="D46" s="1" t="s">
        <v>15</v>
      </c>
      <c r="E46" s="1" t="s">
        <v>68</v>
      </c>
      <c r="F46" s="9">
        <v>313</v>
      </c>
      <c r="G46" s="9">
        <v>23</v>
      </c>
      <c r="H46" s="10">
        <f t="shared" si="10"/>
        <v>336</v>
      </c>
      <c r="I46" s="17">
        <v>163</v>
      </c>
      <c r="J46" s="17">
        <v>31</v>
      </c>
      <c r="K46" s="17">
        <v>27</v>
      </c>
      <c r="L46" s="17">
        <f t="shared" si="1"/>
        <v>194</v>
      </c>
      <c r="M46" s="18">
        <f t="shared" si="2"/>
        <v>-4</v>
      </c>
      <c r="N46" s="19">
        <v>2</v>
      </c>
      <c r="O46" s="19">
        <v>6</v>
      </c>
      <c r="P46" s="19">
        <v>6</v>
      </c>
      <c r="Q46" s="19">
        <f t="shared" si="3"/>
        <v>8</v>
      </c>
      <c r="R46" s="20">
        <f t="shared" si="4"/>
        <v>0</v>
      </c>
      <c r="S46" s="21">
        <f t="shared" si="5"/>
        <v>202</v>
      </c>
      <c r="T46" s="21">
        <f t="shared" si="6"/>
        <v>37</v>
      </c>
      <c r="U46" s="21">
        <f>K46+P46</f>
        <v>33</v>
      </c>
      <c r="V46" s="21">
        <f t="shared" si="11"/>
        <v>-169</v>
      </c>
      <c r="W46" s="11">
        <f>I46+J46+K46</f>
        <v>221</v>
      </c>
      <c r="X46" s="11">
        <f>N46+O46+P46</f>
        <v>14</v>
      </c>
      <c r="Y46" s="12">
        <f t="shared" si="12"/>
        <v>235</v>
      </c>
      <c r="Z46" s="13">
        <f>I46+K46</f>
        <v>190</v>
      </c>
      <c r="AA46" s="13">
        <f>N46+P46</f>
        <v>8</v>
      </c>
      <c r="AB46" s="14">
        <f t="shared" si="13"/>
        <v>198</v>
      </c>
      <c r="AC46" s="35">
        <f>W46/F46</f>
        <v>0.70607028753993606</v>
      </c>
      <c r="AD46" s="35">
        <f>X46/G46</f>
        <v>0.60869565217391308</v>
      </c>
      <c r="AE46" s="15">
        <f>Y46/H46</f>
        <v>0.69940476190476186</v>
      </c>
      <c r="AF46" s="36">
        <f>Z46/F46</f>
        <v>0.60702875399361023</v>
      </c>
      <c r="AG46" s="36">
        <f>AA46/G46</f>
        <v>0.34782608695652173</v>
      </c>
      <c r="AH46" s="15">
        <f>AB46/H46</f>
        <v>0.5892857142857143</v>
      </c>
    </row>
    <row r="47" spans="1:34" x14ac:dyDescent="0.35">
      <c r="A47" s="8">
        <v>44</v>
      </c>
      <c r="B47" s="1" t="s">
        <v>116</v>
      </c>
      <c r="C47" s="1" t="s">
        <v>117</v>
      </c>
      <c r="D47" s="1" t="s">
        <v>15</v>
      </c>
      <c r="E47" s="1" t="s">
        <v>68</v>
      </c>
      <c r="F47" s="9">
        <v>264</v>
      </c>
      <c r="G47" s="9">
        <v>38</v>
      </c>
      <c r="H47" s="10">
        <f t="shared" si="10"/>
        <v>302</v>
      </c>
      <c r="I47" s="17">
        <v>165</v>
      </c>
      <c r="J47" s="17">
        <v>19</v>
      </c>
      <c r="K47" s="17">
        <v>26</v>
      </c>
      <c r="L47" s="17">
        <f t="shared" si="1"/>
        <v>184</v>
      </c>
      <c r="M47" s="18">
        <f t="shared" si="2"/>
        <v>7</v>
      </c>
      <c r="N47" s="19">
        <v>6</v>
      </c>
      <c r="O47" s="19">
        <v>19</v>
      </c>
      <c r="P47" s="19">
        <v>10</v>
      </c>
      <c r="Q47" s="19">
        <f t="shared" si="3"/>
        <v>25</v>
      </c>
      <c r="R47" s="20">
        <f t="shared" si="4"/>
        <v>-9</v>
      </c>
      <c r="S47" s="21">
        <f t="shared" si="5"/>
        <v>209</v>
      </c>
      <c r="T47" s="21">
        <f t="shared" si="6"/>
        <v>38</v>
      </c>
      <c r="U47" s="21">
        <f>K47+P47</f>
        <v>36</v>
      </c>
      <c r="V47" s="21">
        <f t="shared" si="11"/>
        <v>-173</v>
      </c>
      <c r="W47" s="11">
        <f>I47+J47+K47</f>
        <v>210</v>
      </c>
      <c r="X47" s="11">
        <f>N47+O47+P47</f>
        <v>35</v>
      </c>
      <c r="Y47" s="12">
        <f t="shared" si="12"/>
        <v>245</v>
      </c>
      <c r="Z47" s="13">
        <f>I47+K47</f>
        <v>191</v>
      </c>
      <c r="AA47" s="13">
        <f>N47+P47</f>
        <v>16</v>
      </c>
      <c r="AB47" s="14">
        <f t="shared" si="13"/>
        <v>207</v>
      </c>
      <c r="AC47" s="35">
        <f>W47/F47</f>
        <v>0.79545454545454541</v>
      </c>
      <c r="AD47" s="35">
        <f>X47/G47</f>
        <v>0.92105263157894735</v>
      </c>
      <c r="AE47" s="15">
        <f>Y47/H47</f>
        <v>0.8112582781456954</v>
      </c>
      <c r="AF47" s="36">
        <f>Z47/F47</f>
        <v>0.72348484848484851</v>
      </c>
      <c r="AG47" s="36">
        <f>AA47/G47</f>
        <v>0.42105263157894735</v>
      </c>
      <c r="AH47" s="15">
        <f>AB47/H47</f>
        <v>0.68543046357615889</v>
      </c>
    </row>
    <row r="48" spans="1:34" x14ac:dyDescent="0.35">
      <c r="A48" s="8">
        <v>45</v>
      </c>
      <c r="B48" s="1" t="s">
        <v>118</v>
      </c>
      <c r="C48" s="1" t="s">
        <v>119</v>
      </c>
      <c r="D48" s="1" t="s">
        <v>15</v>
      </c>
      <c r="E48" s="1" t="s">
        <v>37</v>
      </c>
      <c r="F48" s="9">
        <v>260</v>
      </c>
      <c r="G48" s="9">
        <v>92</v>
      </c>
      <c r="H48" s="10">
        <f t="shared" si="10"/>
        <v>352</v>
      </c>
      <c r="I48" s="17">
        <v>82</v>
      </c>
      <c r="J48" s="17">
        <v>15</v>
      </c>
      <c r="K48" s="17">
        <v>64</v>
      </c>
      <c r="L48" s="17">
        <f t="shared" si="1"/>
        <v>97</v>
      </c>
      <c r="M48" s="18">
        <f t="shared" si="2"/>
        <v>49</v>
      </c>
      <c r="N48" s="19">
        <v>5</v>
      </c>
      <c r="O48" s="19">
        <v>25</v>
      </c>
      <c r="P48" s="19">
        <v>12</v>
      </c>
      <c r="Q48" s="19">
        <f t="shared" si="3"/>
        <v>30</v>
      </c>
      <c r="R48" s="20">
        <f t="shared" si="4"/>
        <v>-13</v>
      </c>
      <c r="S48" s="21">
        <f t="shared" si="5"/>
        <v>127</v>
      </c>
      <c r="T48" s="21">
        <f t="shared" si="6"/>
        <v>40</v>
      </c>
      <c r="U48" s="21">
        <f>K48+P48</f>
        <v>76</v>
      </c>
      <c r="V48" s="21">
        <f t="shared" si="11"/>
        <v>-51</v>
      </c>
      <c r="W48" s="11">
        <f>I48+J48+K48</f>
        <v>161</v>
      </c>
      <c r="X48" s="11">
        <f>N48+O48+P48</f>
        <v>42</v>
      </c>
      <c r="Y48" s="12">
        <f t="shared" si="12"/>
        <v>203</v>
      </c>
      <c r="Z48" s="13">
        <f>I48+K48</f>
        <v>146</v>
      </c>
      <c r="AA48" s="13">
        <f>N48+P48</f>
        <v>17</v>
      </c>
      <c r="AB48" s="14">
        <f t="shared" si="13"/>
        <v>163</v>
      </c>
      <c r="AC48" s="35">
        <f>W48/F48</f>
        <v>0.61923076923076925</v>
      </c>
      <c r="AD48" s="35">
        <f>X48/G48</f>
        <v>0.45652173913043476</v>
      </c>
      <c r="AE48" s="15">
        <f>Y48/H48</f>
        <v>0.57670454545454541</v>
      </c>
      <c r="AF48" s="36">
        <f>Z48/F48</f>
        <v>0.56153846153846154</v>
      </c>
      <c r="AG48" s="36">
        <f>AA48/G48</f>
        <v>0.18478260869565216</v>
      </c>
      <c r="AH48" s="15">
        <f>AB48/H48</f>
        <v>0.46306818181818182</v>
      </c>
    </row>
    <row r="49" spans="1:34" x14ac:dyDescent="0.35">
      <c r="A49" s="8">
        <v>46</v>
      </c>
      <c r="B49" s="1" t="s">
        <v>120</v>
      </c>
      <c r="C49" s="1" t="s">
        <v>121</v>
      </c>
      <c r="D49" s="1" t="s">
        <v>15</v>
      </c>
      <c r="E49" s="1" t="s">
        <v>37</v>
      </c>
      <c r="F49" s="9">
        <v>316</v>
      </c>
      <c r="G49" s="9">
        <v>35</v>
      </c>
      <c r="H49" s="10">
        <f t="shared" si="10"/>
        <v>351</v>
      </c>
      <c r="I49" s="17">
        <v>86</v>
      </c>
      <c r="J49" s="17">
        <v>59</v>
      </c>
      <c r="K49" s="17">
        <v>14</v>
      </c>
      <c r="L49" s="17">
        <f t="shared" si="1"/>
        <v>145</v>
      </c>
      <c r="M49" s="18">
        <f t="shared" si="2"/>
        <v>-45</v>
      </c>
      <c r="N49" s="19">
        <v>0</v>
      </c>
      <c r="O49" s="19">
        <v>1</v>
      </c>
      <c r="P49" s="19">
        <v>0</v>
      </c>
      <c r="Q49" s="19">
        <f t="shared" si="3"/>
        <v>1</v>
      </c>
      <c r="R49" s="20">
        <f t="shared" si="4"/>
        <v>-1</v>
      </c>
      <c r="S49" s="21">
        <f t="shared" si="5"/>
        <v>146</v>
      </c>
      <c r="T49" s="21">
        <f t="shared" si="6"/>
        <v>60</v>
      </c>
      <c r="U49" s="21">
        <f>K49+P49</f>
        <v>14</v>
      </c>
      <c r="V49" s="21">
        <f t="shared" si="11"/>
        <v>-132</v>
      </c>
      <c r="W49" s="11">
        <f>I49+J49+K49</f>
        <v>159</v>
      </c>
      <c r="X49" s="11">
        <f>N49+O49+P49</f>
        <v>1</v>
      </c>
      <c r="Y49" s="12">
        <f t="shared" si="12"/>
        <v>160</v>
      </c>
      <c r="Z49" s="13">
        <f>I49+K49</f>
        <v>100</v>
      </c>
      <c r="AA49" s="13">
        <f>N49+P49</f>
        <v>0</v>
      </c>
      <c r="AB49" s="14">
        <f t="shared" si="13"/>
        <v>100</v>
      </c>
      <c r="AC49" s="35">
        <f>W49/F49</f>
        <v>0.50316455696202533</v>
      </c>
      <c r="AD49" s="35">
        <f>X49/G49</f>
        <v>2.8571428571428571E-2</v>
      </c>
      <c r="AE49" s="15">
        <f>Y49/H49</f>
        <v>0.45584045584045585</v>
      </c>
      <c r="AF49" s="36">
        <f>Z49/F49</f>
        <v>0.31645569620253167</v>
      </c>
      <c r="AG49" s="36">
        <f>AA49/G49</f>
        <v>0</v>
      </c>
      <c r="AH49" s="15">
        <f>AB49/H49</f>
        <v>0.28490028490028491</v>
      </c>
    </row>
    <row r="50" spans="1:34" x14ac:dyDescent="0.35">
      <c r="A50" s="8">
        <v>47</v>
      </c>
      <c r="B50" s="1" t="s">
        <v>122</v>
      </c>
      <c r="C50" s="1" t="s">
        <v>123</v>
      </c>
      <c r="D50" s="1" t="s">
        <v>15</v>
      </c>
      <c r="E50" s="1" t="s">
        <v>101</v>
      </c>
      <c r="F50" s="9">
        <v>397</v>
      </c>
      <c r="G50" s="9">
        <v>36</v>
      </c>
      <c r="H50" s="10">
        <f t="shared" si="10"/>
        <v>433</v>
      </c>
      <c r="I50" s="17">
        <v>155</v>
      </c>
      <c r="J50" s="17">
        <v>42</v>
      </c>
      <c r="K50" s="17">
        <v>10</v>
      </c>
      <c r="L50" s="17">
        <f t="shared" si="1"/>
        <v>197</v>
      </c>
      <c r="M50" s="18">
        <f t="shared" si="2"/>
        <v>-32</v>
      </c>
      <c r="N50" s="19">
        <v>7</v>
      </c>
      <c r="O50" s="19">
        <v>7</v>
      </c>
      <c r="P50" s="19">
        <v>8</v>
      </c>
      <c r="Q50" s="19">
        <f t="shared" si="3"/>
        <v>14</v>
      </c>
      <c r="R50" s="20">
        <f t="shared" si="4"/>
        <v>1</v>
      </c>
      <c r="S50" s="21">
        <f t="shared" si="5"/>
        <v>211</v>
      </c>
      <c r="T50" s="21">
        <f t="shared" si="6"/>
        <v>49</v>
      </c>
      <c r="U50" s="21">
        <f>K50+P50</f>
        <v>18</v>
      </c>
      <c r="V50" s="21">
        <f t="shared" si="11"/>
        <v>-193</v>
      </c>
      <c r="W50" s="11">
        <f>I50+J50+K50</f>
        <v>207</v>
      </c>
      <c r="X50" s="11">
        <f>N50+O50+P50</f>
        <v>22</v>
      </c>
      <c r="Y50" s="12">
        <f t="shared" si="12"/>
        <v>229</v>
      </c>
      <c r="Z50" s="13">
        <f>I50+K50</f>
        <v>165</v>
      </c>
      <c r="AA50" s="13">
        <f>N50+P50</f>
        <v>15</v>
      </c>
      <c r="AB50" s="14">
        <f t="shared" si="13"/>
        <v>180</v>
      </c>
      <c r="AC50" s="35">
        <f>W50/F50</f>
        <v>0.52141057934508817</v>
      </c>
      <c r="AD50" s="35">
        <f>X50/G50</f>
        <v>0.61111111111111116</v>
      </c>
      <c r="AE50" s="15">
        <f>Y50/H50</f>
        <v>0.52886836027713624</v>
      </c>
      <c r="AF50" s="36">
        <f>Z50/F50</f>
        <v>0.41561712846347609</v>
      </c>
      <c r="AG50" s="36">
        <f>AA50/G50</f>
        <v>0.41666666666666669</v>
      </c>
      <c r="AH50" s="15">
        <f>AB50/H50</f>
        <v>0.41570438799076215</v>
      </c>
    </row>
    <row r="51" spans="1:34" x14ac:dyDescent="0.35">
      <c r="A51" s="8">
        <v>48</v>
      </c>
      <c r="B51" s="1" t="s">
        <v>124</v>
      </c>
      <c r="C51" s="1" t="s">
        <v>125</v>
      </c>
      <c r="D51" s="1" t="s">
        <v>61</v>
      </c>
      <c r="E51" s="1" t="s">
        <v>51</v>
      </c>
      <c r="F51" s="9">
        <v>2079</v>
      </c>
      <c r="G51" s="9">
        <v>169</v>
      </c>
      <c r="H51" s="10">
        <f t="shared" si="10"/>
        <v>2248</v>
      </c>
      <c r="I51" s="17">
        <v>902</v>
      </c>
      <c r="J51" s="17">
        <v>310</v>
      </c>
      <c r="K51" s="17">
        <v>142</v>
      </c>
      <c r="L51" s="17">
        <f t="shared" si="1"/>
        <v>1212</v>
      </c>
      <c r="M51" s="18">
        <f t="shared" si="2"/>
        <v>-168</v>
      </c>
      <c r="N51" s="19">
        <v>10</v>
      </c>
      <c r="O51" s="19">
        <v>63</v>
      </c>
      <c r="P51" s="19">
        <v>42</v>
      </c>
      <c r="Q51" s="19">
        <f t="shared" si="3"/>
        <v>73</v>
      </c>
      <c r="R51" s="20">
        <f t="shared" si="4"/>
        <v>-21</v>
      </c>
      <c r="S51" s="21">
        <f t="shared" si="5"/>
        <v>1285</v>
      </c>
      <c r="T51" s="21">
        <f t="shared" si="6"/>
        <v>373</v>
      </c>
      <c r="U51" s="21">
        <f>K51+P51</f>
        <v>184</v>
      </c>
      <c r="V51" s="21">
        <f t="shared" si="11"/>
        <v>-1101</v>
      </c>
      <c r="W51" s="11">
        <f>I51+J51+K51</f>
        <v>1354</v>
      </c>
      <c r="X51" s="11">
        <f>N51+O51+P51</f>
        <v>115</v>
      </c>
      <c r="Y51" s="12">
        <f t="shared" si="12"/>
        <v>1469</v>
      </c>
      <c r="Z51" s="13">
        <f>I51+K51</f>
        <v>1044</v>
      </c>
      <c r="AA51" s="13">
        <f>N51+P51</f>
        <v>52</v>
      </c>
      <c r="AB51" s="14">
        <f t="shared" si="13"/>
        <v>1096</v>
      </c>
      <c r="AC51" s="35">
        <f>W51/F51</f>
        <v>0.65127465127465123</v>
      </c>
      <c r="AD51" s="35">
        <f>X51/G51</f>
        <v>0.68047337278106512</v>
      </c>
      <c r="AE51" s="15">
        <f>Y51/H51</f>
        <v>0.65346975088967973</v>
      </c>
      <c r="AF51" s="36">
        <f>Z51/F51</f>
        <v>0.50216450216450215</v>
      </c>
      <c r="AG51" s="36">
        <f>AA51/G51</f>
        <v>0.30769230769230771</v>
      </c>
      <c r="AH51" s="15">
        <f>AB51/H51</f>
        <v>0.48754448398576511</v>
      </c>
    </row>
    <row r="52" spans="1:34" x14ac:dyDescent="0.35">
      <c r="A52" s="8">
        <v>49</v>
      </c>
      <c r="B52" s="1" t="s">
        <v>126</v>
      </c>
      <c r="C52" s="1" t="s">
        <v>127</v>
      </c>
      <c r="D52" s="1" t="s">
        <v>15</v>
      </c>
      <c r="E52" s="1" t="s">
        <v>16</v>
      </c>
      <c r="F52" s="9">
        <v>322</v>
      </c>
      <c r="G52" s="9">
        <v>58</v>
      </c>
      <c r="H52" s="10">
        <f t="shared" si="10"/>
        <v>380</v>
      </c>
      <c r="I52" s="17">
        <v>115</v>
      </c>
      <c r="J52" s="17">
        <v>42</v>
      </c>
      <c r="K52" s="17">
        <v>9</v>
      </c>
      <c r="L52" s="17">
        <f t="shared" si="1"/>
        <v>157</v>
      </c>
      <c r="M52" s="18">
        <f t="shared" si="2"/>
        <v>-33</v>
      </c>
      <c r="N52" s="19">
        <v>13</v>
      </c>
      <c r="O52" s="19">
        <v>21</v>
      </c>
      <c r="P52" s="19">
        <v>15</v>
      </c>
      <c r="Q52" s="19">
        <f t="shared" si="3"/>
        <v>34</v>
      </c>
      <c r="R52" s="20">
        <f t="shared" si="4"/>
        <v>-6</v>
      </c>
      <c r="S52" s="21">
        <f t="shared" si="5"/>
        <v>191</v>
      </c>
      <c r="T52" s="21">
        <f t="shared" si="6"/>
        <v>63</v>
      </c>
      <c r="U52" s="21">
        <f>K52+P52</f>
        <v>24</v>
      </c>
      <c r="V52" s="21">
        <f t="shared" si="11"/>
        <v>-167</v>
      </c>
      <c r="W52" s="11">
        <f>I52+J52+K52</f>
        <v>166</v>
      </c>
      <c r="X52" s="11">
        <f>N52+O52+P52</f>
        <v>49</v>
      </c>
      <c r="Y52" s="12">
        <f t="shared" si="12"/>
        <v>215</v>
      </c>
      <c r="Z52" s="13">
        <f>I52+K52</f>
        <v>124</v>
      </c>
      <c r="AA52" s="13">
        <f>N52+P52</f>
        <v>28</v>
      </c>
      <c r="AB52" s="14">
        <f t="shared" si="13"/>
        <v>152</v>
      </c>
      <c r="AC52" s="35">
        <f>W52/F52</f>
        <v>0.51552795031055898</v>
      </c>
      <c r="AD52" s="35">
        <f>X52/G52</f>
        <v>0.84482758620689657</v>
      </c>
      <c r="AE52" s="15">
        <f>Y52/H52</f>
        <v>0.56578947368421051</v>
      </c>
      <c r="AF52" s="36">
        <f>Z52/F52</f>
        <v>0.38509316770186336</v>
      </c>
      <c r="AG52" s="36">
        <f>AA52/G52</f>
        <v>0.48275862068965519</v>
      </c>
      <c r="AH52" s="15">
        <f>AB52/H52</f>
        <v>0.4</v>
      </c>
    </row>
    <row r="53" spans="1:34" x14ac:dyDescent="0.35">
      <c r="A53" s="8">
        <v>50</v>
      </c>
      <c r="B53" s="1" t="s">
        <v>128</v>
      </c>
      <c r="C53" s="1" t="s">
        <v>129</v>
      </c>
      <c r="D53" s="1" t="s">
        <v>15</v>
      </c>
      <c r="E53" s="1" t="s">
        <v>16</v>
      </c>
      <c r="F53" s="9">
        <v>201</v>
      </c>
      <c r="G53" s="9">
        <v>209</v>
      </c>
      <c r="H53" s="10">
        <f t="shared" si="10"/>
        <v>410</v>
      </c>
      <c r="I53" s="17">
        <v>108</v>
      </c>
      <c r="J53" s="17">
        <v>50</v>
      </c>
      <c r="K53" s="17">
        <v>20</v>
      </c>
      <c r="L53" s="17">
        <f t="shared" si="1"/>
        <v>158</v>
      </c>
      <c r="M53" s="18">
        <f t="shared" si="2"/>
        <v>-30</v>
      </c>
      <c r="N53" s="19">
        <v>11</v>
      </c>
      <c r="O53" s="19">
        <v>23</v>
      </c>
      <c r="P53" s="19">
        <v>20</v>
      </c>
      <c r="Q53" s="19">
        <f t="shared" si="3"/>
        <v>34</v>
      </c>
      <c r="R53" s="20">
        <f t="shared" si="4"/>
        <v>-3</v>
      </c>
      <c r="S53" s="21">
        <f t="shared" si="5"/>
        <v>192</v>
      </c>
      <c r="T53" s="21">
        <f t="shared" si="6"/>
        <v>73</v>
      </c>
      <c r="U53" s="21">
        <f>K53+P53</f>
        <v>40</v>
      </c>
      <c r="V53" s="21">
        <f t="shared" si="11"/>
        <v>-152</v>
      </c>
      <c r="W53" s="11">
        <f>I53+J53+K53</f>
        <v>178</v>
      </c>
      <c r="X53" s="11">
        <f>N53+O53+P53</f>
        <v>54</v>
      </c>
      <c r="Y53" s="12">
        <f t="shared" si="12"/>
        <v>232</v>
      </c>
      <c r="Z53" s="13">
        <f>I53+K53</f>
        <v>128</v>
      </c>
      <c r="AA53" s="13">
        <f>N53+P53</f>
        <v>31</v>
      </c>
      <c r="AB53" s="14">
        <f t="shared" si="13"/>
        <v>159</v>
      </c>
      <c r="AC53" s="35">
        <f>W53/F53</f>
        <v>0.88557213930348255</v>
      </c>
      <c r="AD53" s="35">
        <f>X53/G53</f>
        <v>0.25837320574162681</v>
      </c>
      <c r="AE53" s="15">
        <f>Y53/H53</f>
        <v>0.56585365853658531</v>
      </c>
      <c r="AF53" s="36">
        <f>Z53/F53</f>
        <v>0.63681592039800994</v>
      </c>
      <c r="AG53" s="36">
        <f>AA53/G53</f>
        <v>0.14832535885167464</v>
      </c>
      <c r="AH53" s="15">
        <f>AB53/H53</f>
        <v>0.3878048780487805</v>
      </c>
    </row>
    <row r="54" spans="1:34" x14ac:dyDescent="0.35">
      <c r="A54" s="8">
        <v>51</v>
      </c>
      <c r="B54" s="1" t="s">
        <v>130</v>
      </c>
      <c r="C54" s="1" t="s">
        <v>131</v>
      </c>
      <c r="D54" s="1" t="s">
        <v>61</v>
      </c>
      <c r="E54" s="1" t="s">
        <v>16</v>
      </c>
      <c r="F54" s="9">
        <v>1691</v>
      </c>
      <c r="G54" s="9">
        <v>617</v>
      </c>
      <c r="H54" s="10">
        <f t="shared" ref="H54:H85" si="14">F54+G54</f>
        <v>2308</v>
      </c>
      <c r="I54" s="17">
        <v>649</v>
      </c>
      <c r="J54" s="17">
        <v>229</v>
      </c>
      <c r="K54" s="17">
        <v>162</v>
      </c>
      <c r="L54" s="17">
        <f t="shared" si="1"/>
        <v>878</v>
      </c>
      <c r="M54" s="18">
        <f t="shared" si="2"/>
        <v>-67</v>
      </c>
      <c r="N54" s="19">
        <v>37</v>
      </c>
      <c r="O54" s="19">
        <v>77</v>
      </c>
      <c r="P54" s="19">
        <v>92</v>
      </c>
      <c r="Q54" s="19">
        <f t="shared" si="3"/>
        <v>114</v>
      </c>
      <c r="R54" s="20">
        <f t="shared" si="4"/>
        <v>15</v>
      </c>
      <c r="S54" s="21">
        <f t="shared" si="5"/>
        <v>992</v>
      </c>
      <c r="T54" s="21">
        <f t="shared" si="6"/>
        <v>306</v>
      </c>
      <c r="U54" s="21">
        <f>K54+P54</f>
        <v>254</v>
      </c>
      <c r="V54" s="21">
        <f t="shared" ref="V54:V85" si="15">U54-S54</f>
        <v>-738</v>
      </c>
      <c r="W54" s="11">
        <f>I54+J54+K54</f>
        <v>1040</v>
      </c>
      <c r="X54" s="11">
        <f>N54+O54+P54</f>
        <v>206</v>
      </c>
      <c r="Y54" s="12">
        <f t="shared" ref="Y54:Y85" si="16">W54+X54</f>
        <v>1246</v>
      </c>
      <c r="Z54" s="13">
        <f>I54+K54</f>
        <v>811</v>
      </c>
      <c r="AA54" s="13">
        <f>N54+P54</f>
        <v>129</v>
      </c>
      <c r="AB54" s="14">
        <f t="shared" ref="AB54:AB85" si="17">Z54+AA54</f>
        <v>940</v>
      </c>
      <c r="AC54" s="35">
        <f>W54/F54</f>
        <v>0.61502069781194557</v>
      </c>
      <c r="AD54" s="35">
        <f>X54/G54</f>
        <v>0.33387358184764993</v>
      </c>
      <c r="AE54" s="15">
        <f>Y54/H54</f>
        <v>0.53986135181975736</v>
      </c>
      <c r="AF54" s="36">
        <f>Z54/F54</f>
        <v>0.47959787108219987</v>
      </c>
      <c r="AG54" s="36">
        <f>AA54/G54</f>
        <v>0.20907617504051865</v>
      </c>
      <c r="AH54" s="15">
        <f>AB54/H54</f>
        <v>0.40727902946273831</v>
      </c>
    </row>
    <row r="55" spans="1:34" x14ac:dyDescent="0.35">
      <c r="A55" s="8">
        <v>52</v>
      </c>
      <c r="B55" s="1" t="s">
        <v>132</v>
      </c>
      <c r="C55" s="1" t="s">
        <v>133</v>
      </c>
      <c r="D55" s="1" t="s">
        <v>15</v>
      </c>
      <c r="E55" s="1" t="s">
        <v>34</v>
      </c>
      <c r="F55" s="9">
        <v>328</v>
      </c>
      <c r="G55" s="9">
        <v>27</v>
      </c>
      <c r="H55" s="10">
        <f t="shared" si="14"/>
        <v>355</v>
      </c>
      <c r="I55" s="17">
        <v>107</v>
      </c>
      <c r="J55" s="17">
        <v>18</v>
      </c>
      <c r="K55" s="17">
        <v>16</v>
      </c>
      <c r="L55" s="17">
        <f t="shared" si="1"/>
        <v>125</v>
      </c>
      <c r="M55" s="18">
        <f t="shared" si="2"/>
        <v>-2</v>
      </c>
      <c r="N55" s="19">
        <v>4</v>
      </c>
      <c r="O55" s="19">
        <v>4</v>
      </c>
      <c r="P55" s="19">
        <v>4</v>
      </c>
      <c r="Q55" s="19">
        <f t="shared" si="3"/>
        <v>8</v>
      </c>
      <c r="R55" s="20">
        <f t="shared" si="4"/>
        <v>0</v>
      </c>
      <c r="S55" s="21">
        <f t="shared" si="5"/>
        <v>133</v>
      </c>
      <c r="T55" s="21">
        <f t="shared" si="6"/>
        <v>22</v>
      </c>
      <c r="U55" s="21">
        <f>K55+P55</f>
        <v>20</v>
      </c>
      <c r="V55" s="21">
        <f t="shared" si="15"/>
        <v>-113</v>
      </c>
      <c r="W55" s="11">
        <f>I55+J55+K55</f>
        <v>141</v>
      </c>
      <c r="X55" s="11">
        <f>N55+O55+P55</f>
        <v>12</v>
      </c>
      <c r="Y55" s="12">
        <f t="shared" si="16"/>
        <v>153</v>
      </c>
      <c r="Z55" s="13">
        <f>I55+K55</f>
        <v>123</v>
      </c>
      <c r="AA55" s="13">
        <f>N55+P55</f>
        <v>8</v>
      </c>
      <c r="AB55" s="14">
        <f t="shared" si="17"/>
        <v>131</v>
      </c>
      <c r="AC55" s="35">
        <f>W55/F55</f>
        <v>0.4298780487804878</v>
      </c>
      <c r="AD55" s="35">
        <f>X55/G55</f>
        <v>0.44444444444444442</v>
      </c>
      <c r="AE55" s="15">
        <f>Y55/H55</f>
        <v>0.43098591549295773</v>
      </c>
      <c r="AF55" s="36">
        <f>Z55/F55</f>
        <v>0.375</v>
      </c>
      <c r="AG55" s="36">
        <f>AA55/G55</f>
        <v>0.29629629629629628</v>
      </c>
      <c r="AH55" s="15">
        <f>AB55/H55</f>
        <v>0.36901408450704226</v>
      </c>
    </row>
    <row r="56" spans="1:34" x14ac:dyDescent="0.35">
      <c r="A56" s="8">
        <v>53</v>
      </c>
      <c r="B56" s="1" t="s">
        <v>134</v>
      </c>
      <c r="C56" s="1" t="s">
        <v>135</v>
      </c>
      <c r="D56" s="1" t="s">
        <v>15</v>
      </c>
      <c r="E56" s="1" t="s">
        <v>51</v>
      </c>
      <c r="F56" s="9">
        <v>344</v>
      </c>
      <c r="G56" s="9">
        <v>13</v>
      </c>
      <c r="H56" s="10">
        <f t="shared" si="14"/>
        <v>357</v>
      </c>
      <c r="I56" s="17">
        <v>155</v>
      </c>
      <c r="J56" s="17">
        <v>85</v>
      </c>
      <c r="K56" s="17">
        <v>6</v>
      </c>
      <c r="L56" s="17">
        <f t="shared" si="1"/>
        <v>240</v>
      </c>
      <c r="M56" s="18">
        <f t="shared" si="2"/>
        <v>-79</v>
      </c>
      <c r="N56" s="19">
        <v>1</v>
      </c>
      <c r="O56" s="19">
        <v>5</v>
      </c>
      <c r="P56" s="19">
        <v>6</v>
      </c>
      <c r="Q56" s="19">
        <f t="shared" si="3"/>
        <v>6</v>
      </c>
      <c r="R56" s="20">
        <f t="shared" si="4"/>
        <v>1</v>
      </c>
      <c r="S56" s="21">
        <f t="shared" si="5"/>
        <v>246</v>
      </c>
      <c r="T56" s="21">
        <f t="shared" si="6"/>
        <v>90</v>
      </c>
      <c r="U56" s="21">
        <f>K56+P56</f>
        <v>12</v>
      </c>
      <c r="V56" s="21">
        <f t="shared" si="15"/>
        <v>-234</v>
      </c>
      <c r="W56" s="11">
        <f>I56+J56+K56</f>
        <v>246</v>
      </c>
      <c r="X56" s="11">
        <f>N56+O56+P56</f>
        <v>12</v>
      </c>
      <c r="Y56" s="12">
        <f t="shared" si="16"/>
        <v>258</v>
      </c>
      <c r="Z56" s="13">
        <f>I56+K56</f>
        <v>161</v>
      </c>
      <c r="AA56" s="13">
        <f>N56+P56</f>
        <v>7</v>
      </c>
      <c r="AB56" s="14">
        <f t="shared" si="17"/>
        <v>168</v>
      </c>
      <c r="AC56" s="35">
        <f>W56/F56</f>
        <v>0.71511627906976749</v>
      </c>
      <c r="AD56" s="35">
        <f>X56/G56</f>
        <v>0.92307692307692313</v>
      </c>
      <c r="AE56" s="15">
        <f>Y56/H56</f>
        <v>0.72268907563025209</v>
      </c>
      <c r="AF56" s="36">
        <f>Z56/F56</f>
        <v>0.46802325581395349</v>
      </c>
      <c r="AG56" s="36">
        <f>AA56/G56</f>
        <v>0.53846153846153844</v>
      </c>
      <c r="AH56" s="15">
        <f>AB56/H56</f>
        <v>0.47058823529411764</v>
      </c>
    </row>
    <row r="57" spans="1:34" x14ac:dyDescent="0.35">
      <c r="A57" s="8">
        <v>54</v>
      </c>
      <c r="B57" s="1" t="s">
        <v>136</v>
      </c>
      <c r="C57" s="1" t="s">
        <v>137</v>
      </c>
      <c r="D57" s="1" t="s">
        <v>15</v>
      </c>
      <c r="E57" s="1" t="s">
        <v>29</v>
      </c>
      <c r="F57" s="9">
        <v>343</v>
      </c>
      <c r="G57" s="9">
        <v>27</v>
      </c>
      <c r="H57" s="10">
        <f t="shared" si="14"/>
        <v>370</v>
      </c>
      <c r="I57" s="17">
        <v>120</v>
      </c>
      <c r="J57" s="17">
        <v>19</v>
      </c>
      <c r="K57" s="17">
        <v>26</v>
      </c>
      <c r="L57" s="17">
        <f t="shared" si="1"/>
        <v>139</v>
      </c>
      <c r="M57" s="18">
        <f t="shared" si="2"/>
        <v>7</v>
      </c>
      <c r="N57" s="19">
        <v>6</v>
      </c>
      <c r="O57" s="19">
        <v>4</v>
      </c>
      <c r="P57" s="19">
        <v>14</v>
      </c>
      <c r="Q57" s="19">
        <f t="shared" si="3"/>
        <v>10</v>
      </c>
      <c r="R57" s="20">
        <f t="shared" si="4"/>
        <v>10</v>
      </c>
      <c r="S57" s="21">
        <f t="shared" si="5"/>
        <v>149</v>
      </c>
      <c r="T57" s="21">
        <f t="shared" si="6"/>
        <v>23</v>
      </c>
      <c r="U57" s="21">
        <f>K57+P57</f>
        <v>40</v>
      </c>
      <c r="V57" s="21">
        <f t="shared" si="15"/>
        <v>-109</v>
      </c>
      <c r="W57" s="11">
        <f>I57+J57+K57</f>
        <v>165</v>
      </c>
      <c r="X57" s="11">
        <f>N57+O57+P57</f>
        <v>24</v>
      </c>
      <c r="Y57" s="12">
        <f t="shared" si="16"/>
        <v>189</v>
      </c>
      <c r="Z57" s="13">
        <f>I57+K57</f>
        <v>146</v>
      </c>
      <c r="AA57" s="13">
        <f>N57+P57</f>
        <v>20</v>
      </c>
      <c r="AB57" s="14">
        <f t="shared" si="17"/>
        <v>166</v>
      </c>
      <c r="AC57" s="35">
        <f>W57/F57</f>
        <v>0.48104956268221577</v>
      </c>
      <c r="AD57" s="35">
        <f>X57/G57</f>
        <v>0.88888888888888884</v>
      </c>
      <c r="AE57" s="15">
        <f>Y57/H57</f>
        <v>0.51081081081081081</v>
      </c>
      <c r="AF57" s="36">
        <f>Z57/F57</f>
        <v>0.42565597667638483</v>
      </c>
      <c r="AG57" s="36">
        <f>AA57/G57</f>
        <v>0.7407407407407407</v>
      </c>
      <c r="AH57" s="15">
        <f>AB57/H57</f>
        <v>0.44864864864864867</v>
      </c>
    </row>
    <row r="58" spans="1:34" x14ac:dyDescent="0.35">
      <c r="A58" s="8">
        <v>55</v>
      </c>
      <c r="B58" s="1" t="s">
        <v>138</v>
      </c>
      <c r="C58" s="1" t="s">
        <v>139</v>
      </c>
      <c r="D58" s="1" t="s">
        <v>15</v>
      </c>
      <c r="E58" s="1" t="s">
        <v>51</v>
      </c>
      <c r="F58" s="9">
        <v>395</v>
      </c>
      <c r="G58" s="9">
        <v>8</v>
      </c>
      <c r="H58" s="10">
        <f t="shared" si="14"/>
        <v>403</v>
      </c>
      <c r="I58" s="17">
        <v>148</v>
      </c>
      <c r="J58" s="17">
        <v>99</v>
      </c>
      <c r="K58" s="17">
        <v>44</v>
      </c>
      <c r="L58" s="17">
        <f t="shared" si="1"/>
        <v>247</v>
      </c>
      <c r="M58" s="18">
        <f t="shared" si="2"/>
        <v>-55</v>
      </c>
      <c r="N58" s="19">
        <v>2</v>
      </c>
      <c r="O58" s="19">
        <v>3</v>
      </c>
      <c r="P58" s="19">
        <v>10</v>
      </c>
      <c r="Q58" s="19">
        <f t="shared" si="3"/>
        <v>5</v>
      </c>
      <c r="R58" s="20">
        <f t="shared" si="4"/>
        <v>7</v>
      </c>
      <c r="S58" s="21">
        <f t="shared" si="5"/>
        <v>252</v>
      </c>
      <c r="T58" s="21">
        <f t="shared" si="6"/>
        <v>102</v>
      </c>
      <c r="U58" s="21">
        <f>K58+P58</f>
        <v>54</v>
      </c>
      <c r="V58" s="21">
        <f t="shared" si="15"/>
        <v>-198</v>
      </c>
      <c r="W58" s="11">
        <f>I58+J58+K58</f>
        <v>291</v>
      </c>
      <c r="X58" s="11">
        <f>N58+O58+P58</f>
        <v>15</v>
      </c>
      <c r="Y58" s="12">
        <f t="shared" si="16"/>
        <v>306</v>
      </c>
      <c r="Z58" s="13">
        <f>I58+K58</f>
        <v>192</v>
      </c>
      <c r="AA58" s="13">
        <f>N58+P58</f>
        <v>12</v>
      </c>
      <c r="AB58" s="14">
        <f t="shared" si="17"/>
        <v>204</v>
      </c>
      <c r="AC58" s="35">
        <f>W58/F58</f>
        <v>0.73670886075949371</v>
      </c>
      <c r="AD58" s="35">
        <f>X58/G58</f>
        <v>1.875</v>
      </c>
      <c r="AE58" s="15">
        <f>Y58/H58</f>
        <v>0.75930521091811409</v>
      </c>
      <c r="AF58" s="36">
        <f>Z58/F58</f>
        <v>0.48607594936708859</v>
      </c>
      <c r="AG58" s="36">
        <f>AA58/G58</f>
        <v>1.5</v>
      </c>
      <c r="AH58" s="15">
        <f>AB58/H58</f>
        <v>0.50620347394540943</v>
      </c>
    </row>
    <row r="59" spans="1:34" x14ac:dyDescent="0.35">
      <c r="A59" s="8">
        <v>56</v>
      </c>
      <c r="B59" s="1" t="s">
        <v>140</v>
      </c>
      <c r="C59" s="1" t="s">
        <v>141</v>
      </c>
      <c r="D59" s="1" t="s">
        <v>15</v>
      </c>
      <c r="E59" s="1" t="s">
        <v>37</v>
      </c>
      <c r="F59" s="9">
        <v>322</v>
      </c>
      <c r="G59" s="9">
        <v>32</v>
      </c>
      <c r="H59" s="10">
        <f t="shared" si="14"/>
        <v>354</v>
      </c>
      <c r="I59" s="17">
        <v>155</v>
      </c>
      <c r="J59" s="17">
        <v>19</v>
      </c>
      <c r="K59" s="17">
        <v>30</v>
      </c>
      <c r="L59" s="17">
        <f t="shared" si="1"/>
        <v>174</v>
      </c>
      <c r="M59" s="18">
        <f t="shared" si="2"/>
        <v>11</v>
      </c>
      <c r="N59" s="19">
        <v>1</v>
      </c>
      <c r="O59" s="19">
        <v>8</v>
      </c>
      <c r="P59" s="19">
        <v>5</v>
      </c>
      <c r="Q59" s="19">
        <f t="shared" si="3"/>
        <v>9</v>
      </c>
      <c r="R59" s="20">
        <f t="shared" si="4"/>
        <v>-3</v>
      </c>
      <c r="S59" s="21">
        <f t="shared" si="5"/>
        <v>183</v>
      </c>
      <c r="T59" s="21">
        <f t="shared" si="6"/>
        <v>27</v>
      </c>
      <c r="U59" s="21">
        <f>K59+P59</f>
        <v>35</v>
      </c>
      <c r="V59" s="21">
        <f t="shared" si="15"/>
        <v>-148</v>
      </c>
      <c r="W59" s="11">
        <f>I59+J59+K59</f>
        <v>204</v>
      </c>
      <c r="X59" s="11">
        <f>N59+O59+P59</f>
        <v>14</v>
      </c>
      <c r="Y59" s="12">
        <f t="shared" si="16"/>
        <v>218</v>
      </c>
      <c r="Z59" s="13">
        <f>I59+K59</f>
        <v>185</v>
      </c>
      <c r="AA59" s="13">
        <f>N59+P59</f>
        <v>6</v>
      </c>
      <c r="AB59" s="14">
        <f t="shared" si="17"/>
        <v>191</v>
      </c>
      <c r="AC59" s="35">
        <f>W59/F59</f>
        <v>0.63354037267080743</v>
      </c>
      <c r="AD59" s="35">
        <f>X59/G59</f>
        <v>0.4375</v>
      </c>
      <c r="AE59" s="15">
        <f>Y59/H59</f>
        <v>0.61581920903954801</v>
      </c>
      <c r="AF59" s="36">
        <f>Z59/F59</f>
        <v>0.57453416149068326</v>
      </c>
      <c r="AG59" s="36">
        <f>AA59/G59</f>
        <v>0.1875</v>
      </c>
      <c r="AH59" s="15">
        <f>AB59/H59</f>
        <v>0.53954802259887003</v>
      </c>
    </row>
    <row r="60" spans="1:34" x14ac:dyDescent="0.35">
      <c r="A60" s="8">
        <v>57</v>
      </c>
      <c r="B60" s="1" t="s">
        <v>142</v>
      </c>
      <c r="C60" s="1" t="s">
        <v>143</v>
      </c>
      <c r="D60" s="1" t="s">
        <v>61</v>
      </c>
      <c r="E60" s="1" t="s">
        <v>93</v>
      </c>
      <c r="F60" s="9">
        <v>2170</v>
      </c>
      <c r="G60" s="9">
        <v>246</v>
      </c>
      <c r="H60" s="10">
        <f t="shared" si="14"/>
        <v>2416</v>
      </c>
      <c r="I60" s="17">
        <v>822</v>
      </c>
      <c r="J60" s="17">
        <v>237</v>
      </c>
      <c r="K60" s="17">
        <v>145</v>
      </c>
      <c r="L60" s="17">
        <f t="shared" si="1"/>
        <v>1059</v>
      </c>
      <c r="M60" s="18">
        <f t="shared" si="2"/>
        <v>-92</v>
      </c>
      <c r="N60" s="19">
        <v>25</v>
      </c>
      <c r="O60" s="19">
        <v>64</v>
      </c>
      <c r="P60" s="19">
        <v>45</v>
      </c>
      <c r="Q60" s="19">
        <f t="shared" si="3"/>
        <v>89</v>
      </c>
      <c r="R60" s="20">
        <f t="shared" si="4"/>
        <v>-19</v>
      </c>
      <c r="S60" s="21">
        <f t="shared" si="5"/>
        <v>1148</v>
      </c>
      <c r="T60" s="21">
        <f t="shared" si="6"/>
        <v>301</v>
      </c>
      <c r="U60" s="21">
        <f>K60+P60</f>
        <v>190</v>
      </c>
      <c r="V60" s="21">
        <f t="shared" si="15"/>
        <v>-958</v>
      </c>
      <c r="W60" s="11">
        <f>I60+J60+K60</f>
        <v>1204</v>
      </c>
      <c r="X60" s="11">
        <f>N60+O60+P60</f>
        <v>134</v>
      </c>
      <c r="Y60" s="12">
        <f t="shared" si="16"/>
        <v>1338</v>
      </c>
      <c r="Z60" s="13">
        <f>I60+K60</f>
        <v>967</v>
      </c>
      <c r="AA60" s="13">
        <f>N60+P60</f>
        <v>70</v>
      </c>
      <c r="AB60" s="14">
        <f t="shared" si="17"/>
        <v>1037</v>
      </c>
      <c r="AC60" s="35">
        <f>W60/F60</f>
        <v>0.55483870967741933</v>
      </c>
      <c r="AD60" s="35">
        <f>X60/G60</f>
        <v>0.54471544715447151</v>
      </c>
      <c r="AE60" s="15">
        <f>Y60/H60</f>
        <v>0.55380794701986757</v>
      </c>
      <c r="AF60" s="36">
        <f>Z60/F60</f>
        <v>0.44562211981566818</v>
      </c>
      <c r="AG60" s="36">
        <f>AA60/G60</f>
        <v>0.28455284552845528</v>
      </c>
      <c r="AH60" s="15">
        <f>AB60/H60</f>
        <v>0.42922185430463577</v>
      </c>
    </row>
    <row r="61" spans="1:34" x14ac:dyDescent="0.35">
      <c r="A61" s="8">
        <v>58</v>
      </c>
      <c r="B61" s="1" t="s">
        <v>144</v>
      </c>
      <c r="C61" s="1" t="s">
        <v>145</v>
      </c>
      <c r="D61" s="1" t="s">
        <v>15</v>
      </c>
      <c r="E61" s="1" t="s">
        <v>146</v>
      </c>
      <c r="F61" s="9">
        <v>411</v>
      </c>
      <c r="G61" s="9">
        <v>41</v>
      </c>
      <c r="H61" s="10">
        <f t="shared" si="14"/>
        <v>452</v>
      </c>
      <c r="I61" s="17">
        <v>141</v>
      </c>
      <c r="J61" s="17">
        <v>41</v>
      </c>
      <c r="K61" s="17">
        <v>33</v>
      </c>
      <c r="L61" s="17">
        <f t="shared" si="1"/>
        <v>182</v>
      </c>
      <c r="M61" s="18">
        <f t="shared" si="2"/>
        <v>-8</v>
      </c>
      <c r="N61" s="19">
        <v>15</v>
      </c>
      <c r="O61" s="19">
        <v>18</v>
      </c>
      <c r="P61" s="19">
        <v>22</v>
      </c>
      <c r="Q61" s="19">
        <f t="shared" si="3"/>
        <v>33</v>
      </c>
      <c r="R61" s="20">
        <f t="shared" si="4"/>
        <v>4</v>
      </c>
      <c r="S61" s="21">
        <f t="shared" si="5"/>
        <v>215</v>
      </c>
      <c r="T61" s="21">
        <f t="shared" si="6"/>
        <v>59</v>
      </c>
      <c r="U61" s="21">
        <f>K61+P61</f>
        <v>55</v>
      </c>
      <c r="V61" s="21">
        <f t="shared" si="15"/>
        <v>-160</v>
      </c>
      <c r="W61" s="11">
        <f>I61+J61+K61</f>
        <v>215</v>
      </c>
      <c r="X61" s="11">
        <f>N61+O61+P61</f>
        <v>55</v>
      </c>
      <c r="Y61" s="12">
        <f t="shared" si="16"/>
        <v>270</v>
      </c>
      <c r="Z61" s="13">
        <f>I61+K61</f>
        <v>174</v>
      </c>
      <c r="AA61" s="13">
        <f>N61+P61</f>
        <v>37</v>
      </c>
      <c r="AB61" s="14">
        <f t="shared" si="17"/>
        <v>211</v>
      </c>
      <c r="AC61" s="35">
        <f>W61/F61</f>
        <v>0.52311435523114358</v>
      </c>
      <c r="AD61" s="35">
        <f>X61/G61</f>
        <v>1.3414634146341464</v>
      </c>
      <c r="AE61" s="15">
        <f>Y61/H61</f>
        <v>0.59734513274336287</v>
      </c>
      <c r="AF61" s="36">
        <f>Z61/F61</f>
        <v>0.42335766423357662</v>
      </c>
      <c r="AG61" s="36">
        <f>AA61/G61</f>
        <v>0.90243902439024393</v>
      </c>
      <c r="AH61" s="15">
        <f>AB61/H61</f>
        <v>0.4668141592920354</v>
      </c>
    </row>
    <row r="62" spans="1:34" x14ac:dyDescent="0.35">
      <c r="A62" s="8">
        <v>59</v>
      </c>
      <c r="B62" s="1" t="s">
        <v>147</v>
      </c>
      <c r="C62" s="1" t="s">
        <v>148</v>
      </c>
      <c r="D62" s="1" t="s">
        <v>15</v>
      </c>
      <c r="E62" s="1" t="s">
        <v>16</v>
      </c>
      <c r="F62" s="9">
        <v>340</v>
      </c>
      <c r="G62" s="9">
        <v>57</v>
      </c>
      <c r="H62" s="10">
        <f t="shared" si="14"/>
        <v>397</v>
      </c>
      <c r="I62" s="17">
        <v>98</v>
      </c>
      <c r="J62" s="17">
        <v>38</v>
      </c>
      <c r="K62" s="17">
        <v>43</v>
      </c>
      <c r="L62" s="17">
        <f t="shared" si="1"/>
        <v>136</v>
      </c>
      <c r="M62" s="18">
        <f t="shared" si="2"/>
        <v>5</v>
      </c>
      <c r="N62" s="19">
        <v>4</v>
      </c>
      <c r="O62" s="19">
        <v>7</v>
      </c>
      <c r="P62" s="19">
        <v>6</v>
      </c>
      <c r="Q62" s="19">
        <f t="shared" si="3"/>
        <v>11</v>
      </c>
      <c r="R62" s="20">
        <f t="shared" si="4"/>
        <v>-1</v>
      </c>
      <c r="S62" s="21">
        <f t="shared" si="5"/>
        <v>147</v>
      </c>
      <c r="T62" s="21">
        <f t="shared" si="6"/>
        <v>45</v>
      </c>
      <c r="U62" s="21">
        <f>K62+P62</f>
        <v>49</v>
      </c>
      <c r="V62" s="21">
        <f t="shared" si="15"/>
        <v>-98</v>
      </c>
      <c r="W62" s="11">
        <f>I62+J62+K62</f>
        <v>179</v>
      </c>
      <c r="X62" s="11">
        <f>N62+O62+P62</f>
        <v>17</v>
      </c>
      <c r="Y62" s="12">
        <f t="shared" si="16"/>
        <v>196</v>
      </c>
      <c r="Z62" s="13">
        <f>I62+K62</f>
        <v>141</v>
      </c>
      <c r="AA62" s="13">
        <f>N62+P62</f>
        <v>10</v>
      </c>
      <c r="AB62" s="14">
        <f t="shared" si="17"/>
        <v>151</v>
      </c>
      <c r="AC62" s="35">
        <f>W62/F62</f>
        <v>0.52647058823529413</v>
      </c>
      <c r="AD62" s="35">
        <f>X62/G62</f>
        <v>0.2982456140350877</v>
      </c>
      <c r="AE62" s="15">
        <f>Y62/H62</f>
        <v>0.49370277078085645</v>
      </c>
      <c r="AF62" s="36">
        <f>Z62/F62</f>
        <v>0.4147058823529412</v>
      </c>
      <c r="AG62" s="36">
        <f>AA62/G62</f>
        <v>0.17543859649122806</v>
      </c>
      <c r="AH62" s="15">
        <f>AB62/H62</f>
        <v>0.38035264483627201</v>
      </c>
    </row>
    <row r="63" spans="1:34" x14ac:dyDescent="0.35">
      <c r="A63" s="8">
        <v>60</v>
      </c>
      <c r="B63" s="1" t="s">
        <v>149</v>
      </c>
      <c r="C63" s="1" t="s">
        <v>150</v>
      </c>
      <c r="D63" s="1" t="s">
        <v>61</v>
      </c>
      <c r="E63" s="1" t="s">
        <v>48</v>
      </c>
      <c r="F63" s="9">
        <v>2275</v>
      </c>
      <c r="G63" s="9">
        <v>260</v>
      </c>
      <c r="H63" s="10">
        <f t="shared" si="14"/>
        <v>2535</v>
      </c>
      <c r="I63" s="17">
        <v>1004</v>
      </c>
      <c r="J63" s="17">
        <v>321</v>
      </c>
      <c r="K63" s="17">
        <v>183</v>
      </c>
      <c r="L63" s="17">
        <f t="shared" si="1"/>
        <v>1325</v>
      </c>
      <c r="M63" s="18">
        <f t="shared" si="2"/>
        <v>-138</v>
      </c>
      <c r="N63" s="19">
        <v>26</v>
      </c>
      <c r="O63" s="19">
        <v>54</v>
      </c>
      <c r="P63" s="19">
        <v>49</v>
      </c>
      <c r="Q63" s="19">
        <f t="shared" si="3"/>
        <v>80</v>
      </c>
      <c r="R63" s="20">
        <f t="shared" si="4"/>
        <v>-5</v>
      </c>
      <c r="S63" s="21">
        <f t="shared" si="5"/>
        <v>1405</v>
      </c>
      <c r="T63" s="21">
        <f t="shared" si="6"/>
        <v>375</v>
      </c>
      <c r="U63" s="21">
        <f>K63+P63</f>
        <v>232</v>
      </c>
      <c r="V63" s="21">
        <f t="shared" si="15"/>
        <v>-1173</v>
      </c>
      <c r="W63" s="11">
        <f>I63+J63+K63</f>
        <v>1508</v>
      </c>
      <c r="X63" s="11">
        <f>N63+O63+P63</f>
        <v>129</v>
      </c>
      <c r="Y63" s="12">
        <f t="shared" si="16"/>
        <v>1637</v>
      </c>
      <c r="Z63" s="13">
        <f>I63+K63</f>
        <v>1187</v>
      </c>
      <c r="AA63" s="13">
        <f>N63+P63</f>
        <v>75</v>
      </c>
      <c r="AB63" s="14">
        <f t="shared" si="17"/>
        <v>1262</v>
      </c>
      <c r="AC63" s="35">
        <f>W63/F63</f>
        <v>0.66285714285714281</v>
      </c>
      <c r="AD63" s="35">
        <f>X63/G63</f>
        <v>0.49615384615384617</v>
      </c>
      <c r="AE63" s="15">
        <f>Y63/H63</f>
        <v>0.64575936883629192</v>
      </c>
      <c r="AF63" s="36">
        <f>Z63/F63</f>
        <v>0.5217582417582417</v>
      </c>
      <c r="AG63" s="36">
        <f>AA63/G63</f>
        <v>0.28846153846153844</v>
      </c>
      <c r="AH63" s="15">
        <f>AB63/H63</f>
        <v>0.49783037475345165</v>
      </c>
    </row>
    <row r="64" spans="1:34" x14ac:dyDescent="0.35">
      <c r="A64" s="8">
        <v>61</v>
      </c>
      <c r="B64" s="1" t="s">
        <v>151</v>
      </c>
      <c r="C64" s="1" t="s">
        <v>152</v>
      </c>
      <c r="D64" s="1" t="s">
        <v>61</v>
      </c>
      <c r="E64" s="1" t="s">
        <v>58</v>
      </c>
      <c r="F64" s="9">
        <v>1518</v>
      </c>
      <c r="G64" s="9">
        <v>229</v>
      </c>
      <c r="H64" s="10">
        <f t="shared" si="14"/>
        <v>1747</v>
      </c>
      <c r="I64" s="17">
        <v>744</v>
      </c>
      <c r="J64" s="17">
        <v>121</v>
      </c>
      <c r="K64" s="17">
        <v>161</v>
      </c>
      <c r="L64" s="17">
        <f t="shared" si="1"/>
        <v>865</v>
      </c>
      <c r="M64" s="18">
        <f t="shared" si="2"/>
        <v>40</v>
      </c>
      <c r="N64" s="19">
        <v>34</v>
      </c>
      <c r="O64" s="19">
        <v>49</v>
      </c>
      <c r="P64" s="19">
        <v>59</v>
      </c>
      <c r="Q64" s="19">
        <f t="shared" si="3"/>
        <v>83</v>
      </c>
      <c r="R64" s="20">
        <f t="shared" si="4"/>
        <v>10</v>
      </c>
      <c r="S64" s="21">
        <f t="shared" si="5"/>
        <v>948</v>
      </c>
      <c r="T64" s="21">
        <f t="shared" si="6"/>
        <v>170</v>
      </c>
      <c r="U64" s="21">
        <f>K64+P64</f>
        <v>220</v>
      </c>
      <c r="V64" s="21">
        <f t="shared" si="15"/>
        <v>-728</v>
      </c>
      <c r="W64" s="11">
        <f>I64+J64+K64</f>
        <v>1026</v>
      </c>
      <c r="X64" s="11">
        <f>N64+O64+P64</f>
        <v>142</v>
      </c>
      <c r="Y64" s="12">
        <f t="shared" si="16"/>
        <v>1168</v>
      </c>
      <c r="Z64" s="13">
        <f>I64+K64</f>
        <v>905</v>
      </c>
      <c r="AA64" s="13">
        <f>N64+P64</f>
        <v>93</v>
      </c>
      <c r="AB64" s="14">
        <f t="shared" si="17"/>
        <v>998</v>
      </c>
      <c r="AC64" s="35">
        <f>W64/F64</f>
        <v>0.67588932806324109</v>
      </c>
      <c r="AD64" s="35">
        <f>X64/G64</f>
        <v>0.62008733624454149</v>
      </c>
      <c r="AE64" s="15">
        <f>Y64/H64</f>
        <v>0.66857469948483117</v>
      </c>
      <c r="AF64" s="36">
        <f>Z64/F64</f>
        <v>0.59617918313570484</v>
      </c>
      <c r="AG64" s="36">
        <f>AA64/G64</f>
        <v>0.40611353711790393</v>
      </c>
      <c r="AH64" s="15">
        <f>AB64/H64</f>
        <v>0.57126502575844307</v>
      </c>
    </row>
    <row r="65" spans="1:34" x14ac:dyDescent="0.35">
      <c r="A65" s="8">
        <v>62</v>
      </c>
      <c r="B65" s="1" t="s">
        <v>153</v>
      </c>
      <c r="C65" s="1" t="s">
        <v>154</v>
      </c>
      <c r="D65" s="1" t="s">
        <v>15</v>
      </c>
      <c r="E65" s="1" t="s">
        <v>29</v>
      </c>
      <c r="F65" s="9">
        <v>292</v>
      </c>
      <c r="G65" s="9">
        <v>14</v>
      </c>
      <c r="H65" s="10">
        <f t="shared" si="14"/>
        <v>306</v>
      </c>
      <c r="I65" s="17">
        <v>109</v>
      </c>
      <c r="J65" s="17">
        <v>30</v>
      </c>
      <c r="K65" s="17">
        <v>21</v>
      </c>
      <c r="L65" s="17">
        <f t="shared" si="1"/>
        <v>139</v>
      </c>
      <c r="M65" s="18">
        <f t="shared" si="2"/>
        <v>-9</v>
      </c>
      <c r="N65" s="19">
        <v>4</v>
      </c>
      <c r="O65" s="19">
        <v>1</v>
      </c>
      <c r="P65" s="19">
        <v>5</v>
      </c>
      <c r="Q65" s="19">
        <f t="shared" si="3"/>
        <v>5</v>
      </c>
      <c r="R65" s="20">
        <f t="shared" si="4"/>
        <v>4</v>
      </c>
      <c r="S65" s="21">
        <f t="shared" si="5"/>
        <v>144</v>
      </c>
      <c r="T65" s="21">
        <f t="shared" si="6"/>
        <v>31</v>
      </c>
      <c r="U65" s="21">
        <f>K65+P65</f>
        <v>26</v>
      </c>
      <c r="V65" s="21">
        <f t="shared" si="15"/>
        <v>-118</v>
      </c>
      <c r="W65" s="11">
        <f>I65+J65+K65</f>
        <v>160</v>
      </c>
      <c r="X65" s="11">
        <f>N65+O65+P65</f>
        <v>10</v>
      </c>
      <c r="Y65" s="12">
        <f t="shared" si="16"/>
        <v>170</v>
      </c>
      <c r="Z65" s="13">
        <f>I65+K65</f>
        <v>130</v>
      </c>
      <c r="AA65" s="13">
        <f>N65+P65</f>
        <v>9</v>
      </c>
      <c r="AB65" s="14">
        <f t="shared" si="17"/>
        <v>139</v>
      </c>
      <c r="AC65" s="35">
        <f>W65/F65</f>
        <v>0.54794520547945202</v>
      </c>
      <c r="AD65" s="35">
        <f>X65/G65</f>
        <v>0.7142857142857143</v>
      </c>
      <c r="AE65" s="15">
        <f>Y65/H65</f>
        <v>0.55555555555555558</v>
      </c>
      <c r="AF65" s="36">
        <f>Z65/F65</f>
        <v>0.4452054794520548</v>
      </c>
      <c r="AG65" s="36">
        <f>AA65/G65</f>
        <v>0.6428571428571429</v>
      </c>
      <c r="AH65" s="15">
        <f>AB65/H65</f>
        <v>0.45424836601307189</v>
      </c>
    </row>
    <row r="66" spans="1:34" x14ac:dyDescent="0.35">
      <c r="A66" s="8">
        <v>63</v>
      </c>
      <c r="B66" s="1" t="s">
        <v>155</v>
      </c>
      <c r="C66" s="1" t="s">
        <v>156</v>
      </c>
      <c r="D66" s="1" t="s">
        <v>61</v>
      </c>
      <c r="E66" s="1" t="s">
        <v>157</v>
      </c>
      <c r="F66" s="9">
        <v>1763</v>
      </c>
      <c r="G66" s="9">
        <v>212</v>
      </c>
      <c r="H66" s="10">
        <f t="shared" si="14"/>
        <v>1975</v>
      </c>
      <c r="I66" s="17">
        <v>693</v>
      </c>
      <c r="J66" s="17">
        <v>231</v>
      </c>
      <c r="K66" s="17">
        <v>167</v>
      </c>
      <c r="L66" s="17">
        <f t="shared" si="1"/>
        <v>924</v>
      </c>
      <c r="M66" s="18">
        <f t="shared" si="2"/>
        <v>-64</v>
      </c>
      <c r="N66" s="19">
        <v>18</v>
      </c>
      <c r="O66" s="19">
        <v>66</v>
      </c>
      <c r="P66" s="19">
        <v>39</v>
      </c>
      <c r="Q66" s="19">
        <f t="shared" si="3"/>
        <v>84</v>
      </c>
      <c r="R66" s="20">
        <f t="shared" si="4"/>
        <v>-27</v>
      </c>
      <c r="S66" s="21">
        <f t="shared" si="5"/>
        <v>1008</v>
      </c>
      <c r="T66" s="21">
        <f t="shared" si="6"/>
        <v>297</v>
      </c>
      <c r="U66" s="21">
        <f>K66+P66</f>
        <v>206</v>
      </c>
      <c r="V66" s="21">
        <f t="shared" si="15"/>
        <v>-802</v>
      </c>
      <c r="W66" s="11">
        <f>I66+J66+K66</f>
        <v>1091</v>
      </c>
      <c r="X66" s="11">
        <f>N66+O66+P66</f>
        <v>123</v>
      </c>
      <c r="Y66" s="12">
        <f t="shared" si="16"/>
        <v>1214</v>
      </c>
      <c r="Z66" s="13">
        <f>I66+K66</f>
        <v>860</v>
      </c>
      <c r="AA66" s="13">
        <f>N66+P66</f>
        <v>57</v>
      </c>
      <c r="AB66" s="14">
        <f t="shared" si="17"/>
        <v>917</v>
      </c>
      <c r="AC66" s="35">
        <f>W66/F66</f>
        <v>0.61883153715258088</v>
      </c>
      <c r="AD66" s="35">
        <f>X66/G66</f>
        <v>0.58018867924528306</v>
      </c>
      <c r="AE66" s="15">
        <f>Y66/H66</f>
        <v>0.61468354430379746</v>
      </c>
      <c r="AF66" s="36">
        <f>Z66/F66</f>
        <v>0.48780487804878048</v>
      </c>
      <c r="AG66" s="36">
        <f>AA66/G66</f>
        <v>0.26886792452830188</v>
      </c>
      <c r="AH66" s="15">
        <f>AB66/H66</f>
        <v>0.46430379746835443</v>
      </c>
    </row>
    <row r="67" spans="1:34" x14ac:dyDescent="0.35">
      <c r="A67" s="8">
        <v>64</v>
      </c>
      <c r="B67" s="1" t="s">
        <v>158</v>
      </c>
      <c r="C67" s="1" t="s">
        <v>159</v>
      </c>
      <c r="D67" s="1" t="s">
        <v>15</v>
      </c>
      <c r="E67" s="1" t="s">
        <v>29</v>
      </c>
      <c r="F67" s="9">
        <v>308</v>
      </c>
      <c r="G67" s="9">
        <v>44</v>
      </c>
      <c r="H67" s="10">
        <f t="shared" si="14"/>
        <v>352</v>
      </c>
      <c r="I67" s="17">
        <v>89</v>
      </c>
      <c r="J67" s="17">
        <v>26</v>
      </c>
      <c r="K67" s="17">
        <v>23</v>
      </c>
      <c r="L67" s="17">
        <f t="shared" si="1"/>
        <v>115</v>
      </c>
      <c r="M67" s="18">
        <f t="shared" si="2"/>
        <v>-3</v>
      </c>
      <c r="N67" s="19">
        <v>3</v>
      </c>
      <c r="O67" s="19">
        <v>6</v>
      </c>
      <c r="P67" s="19">
        <v>11</v>
      </c>
      <c r="Q67" s="19">
        <f t="shared" si="3"/>
        <v>9</v>
      </c>
      <c r="R67" s="20">
        <f t="shared" si="4"/>
        <v>5</v>
      </c>
      <c r="S67" s="21">
        <f t="shared" si="5"/>
        <v>124</v>
      </c>
      <c r="T67" s="21">
        <f t="shared" si="6"/>
        <v>32</v>
      </c>
      <c r="U67" s="21">
        <f>K67+P67</f>
        <v>34</v>
      </c>
      <c r="V67" s="21">
        <f t="shared" si="15"/>
        <v>-90</v>
      </c>
      <c r="W67" s="11">
        <f>I67+J67+K67</f>
        <v>138</v>
      </c>
      <c r="X67" s="11">
        <f>N67+O67+P67</f>
        <v>20</v>
      </c>
      <c r="Y67" s="12">
        <f t="shared" si="16"/>
        <v>158</v>
      </c>
      <c r="Z67" s="13">
        <f>I67+K67</f>
        <v>112</v>
      </c>
      <c r="AA67" s="13">
        <f>N67+P67</f>
        <v>14</v>
      </c>
      <c r="AB67" s="14">
        <f t="shared" si="17"/>
        <v>126</v>
      </c>
      <c r="AC67" s="35">
        <f>W67/F67</f>
        <v>0.44805194805194803</v>
      </c>
      <c r="AD67" s="35">
        <f>X67/G67</f>
        <v>0.45454545454545453</v>
      </c>
      <c r="AE67" s="15">
        <f>Y67/H67</f>
        <v>0.44886363636363635</v>
      </c>
      <c r="AF67" s="36">
        <f>Z67/F67</f>
        <v>0.36363636363636365</v>
      </c>
      <c r="AG67" s="36">
        <f>AA67/G67</f>
        <v>0.31818181818181818</v>
      </c>
      <c r="AH67" s="15">
        <f>AB67/H67</f>
        <v>0.35795454545454547</v>
      </c>
    </row>
    <row r="68" spans="1:34" x14ac:dyDescent="0.35">
      <c r="A68" s="8">
        <v>65</v>
      </c>
      <c r="B68" s="1" t="s">
        <v>160</v>
      </c>
      <c r="C68" s="1" t="s">
        <v>161</v>
      </c>
      <c r="D68" s="1" t="s">
        <v>15</v>
      </c>
      <c r="E68" s="1" t="s">
        <v>58</v>
      </c>
      <c r="F68" s="9">
        <v>325</v>
      </c>
      <c r="G68" s="9">
        <v>53</v>
      </c>
      <c r="H68" s="10">
        <f t="shared" si="14"/>
        <v>378</v>
      </c>
      <c r="I68" s="17">
        <v>133</v>
      </c>
      <c r="J68" s="17">
        <v>10</v>
      </c>
      <c r="K68" s="17">
        <v>21</v>
      </c>
      <c r="L68" s="17">
        <f t="shared" si="1"/>
        <v>143</v>
      </c>
      <c r="M68" s="18">
        <f t="shared" si="2"/>
        <v>11</v>
      </c>
      <c r="N68" s="19">
        <v>13</v>
      </c>
      <c r="O68" s="19">
        <v>16</v>
      </c>
      <c r="P68" s="19">
        <v>30</v>
      </c>
      <c r="Q68" s="19">
        <f t="shared" si="3"/>
        <v>29</v>
      </c>
      <c r="R68" s="20">
        <f t="shared" si="4"/>
        <v>14</v>
      </c>
      <c r="S68" s="21">
        <f t="shared" si="5"/>
        <v>172</v>
      </c>
      <c r="T68" s="21">
        <f t="shared" si="6"/>
        <v>26</v>
      </c>
      <c r="U68" s="21">
        <f>K68+P68</f>
        <v>51</v>
      </c>
      <c r="V68" s="21">
        <f t="shared" si="15"/>
        <v>-121</v>
      </c>
      <c r="W68" s="11">
        <f>I68+J68+K68</f>
        <v>164</v>
      </c>
      <c r="X68" s="11">
        <f>N68+O68+P68</f>
        <v>59</v>
      </c>
      <c r="Y68" s="12">
        <f t="shared" si="16"/>
        <v>223</v>
      </c>
      <c r="Z68" s="13">
        <f>I68+K68</f>
        <v>154</v>
      </c>
      <c r="AA68" s="13">
        <f>N68+P68</f>
        <v>43</v>
      </c>
      <c r="AB68" s="14">
        <f t="shared" si="17"/>
        <v>197</v>
      </c>
      <c r="AC68" s="35">
        <f>W68/F68</f>
        <v>0.50461538461538458</v>
      </c>
      <c r="AD68" s="35">
        <f>X68/G68</f>
        <v>1.1132075471698113</v>
      </c>
      <c r="AE68" s="15">
        <f>Y68/H68</f>
        <v>0.58994708994709</v>
      </c>
      <c r="AF68" s="36">
        <f>Z68/F68</f>
        <v>0.47384615384615386</v>
      </c>
      <c r="AG68" s="36">
        <f>AA68/G68</f>
        <v>0.81132075471698117</v>
      </c>
      <c r="AH68" s="15">
        <f>AB68/H68</f>
        <v>0.52116402116402116</v>
      </c>
    </row>
    <row r="69" spans="1:34" x14ac:dyDescent="0.35">
      <c r="A69" s="8">
        <v>66</v>
      </c>
      <c r="B69" s="1" t="s">
        <v>162</v>
      </c>
      <c r="C69" s="1" t="s">
        <v>163</v>
      </c>
      <c r="D69" s="1" t="s">
        <v>61</v>
      </c>
      <c r="E69" s="1" t="s">
        <v>48</v>
      </c>
      <c r="F69" s="9">
        <v>1765</v>
      </c>
      <c r="G69" s="9">
        <v>305</v>
      </c>
      <c r="H69" s="10">
        <f t="shared" si="14"/>
        <v>2070</v>
      </c>
      <c r="I69" s="17">
        <v>585</v>
      </c>
      <c r="J69" s="17">
        <v>246</v>
      </c>
      <c r="K69" s="17">
        <v>93</v>
      </c>
      <c r="L69" s="17">
        <f t="shared" ref="L69:L132" si="18">I69+J69</f>
        <v>831</v>
      </c>
      <c r="M69" s="18">
        <f t="shared" ref="M69:M132" si="19">K69-J69</f>
        <v>-153</v>
      </c>
      <c r="N69" s="19">
        <v>16</v>
      </c>
      <c r="O69" s="19">
        <v>61</v>
      </c>
      <c r="P69" s="19">
        <v>44</v>
      </c>
      <c r="Q69" s="19">
        <f t="shared" ref="Q69:Q132" si="20">N69+O69</f>
        <v>77</v>
      </c>
      <c r="R69" s="20">
        <f t="shared" ref="R69:R132" si="21">P69-O69</f>
        <v>-17</v>
      </c>
      <c r="S69" s="21">
        <f t="shared" ref="S69:S132" si="22">L69+Q69</f>
        <v>908</v>
      </c>
      <c r="T69" s="21">
        <f t="shared" ref="T69:T132" si="23">J69+O69</f>
        <v>307</v>
      </c>
      <c r="U69" s="21">
        <f>K69+P69</f>
        <v>137</v>
      </c>
      <c r="V69" s="21">
        <f t="shared" si="15"/>
        <v>-771</v>
      </c>
      <c r="W69" s="11">
        <f>I69+J69+K69</f>
        <v>924</v>
      </c>
      <c r="X69" s="11">
        <f>N69+O69+P69</f>
        <v>121</v>
      </c>
      <c r="Y69" s="12">
        <f t="shared" si="16"/>
        <v>1045</v>
      </c>
      <c r="Z69" s="13">
        <f>I69+K69</f>
        <v>678</v>
      </c>
      <c r="AA69" s="13">
        <f>N69+P69</f>
        <v>60</v>
      </c>
      <c r="AB69" s="14">
        <f t="shared" si="17"/>
        <v>738</v>
      </c>
      <c r="AC69" s="35">
        <f>W69/F69</f>
        <v>0.52351274787535407</v>
      </c>
      <c r="AD69" s="35">
        <f>X69/G69</f>
        <v>0.39672131147540984</v>
      </c>
      <c r="AE69" s="15">
        <f>Y69/H69</f>
        <v>0.50483091787439616</v>
      </c>
      <c r="AF69" s="36">
        <f>Z69/F69</f>
        <v>0.38413597733711047</v>
      </c>
      <c r="AG69" s="36">
        <f>AA69/G69</f>
        <v>0.19672131147540983</v>
      </c>
      <c r="AH69" s="15">
        <f>AB69/H69</f>
        <v>0.35652173913043478</v>
      </c>
    </row>
    <row r="70" spans="1:34" x14ac:dyDescent="0.35">
      <c r="A70" s="8">
        <v>67</v>
      </c>
      <c r="B70" s="1" t="s">
        <v>164</v>
      </c>
      <c r="C70" s="1" t="s">
        <v>165</v>
      </c>
      <c r="D70" s="1" t="s">
        <v>15</v>
      </c>
      <c r="E70" s="1" t="s">
        <v>48</v>
      </c>
      <c r="F70" s="9">
        <v>402</v>
      </c>
      <c r="G70" s="9">
        <v>27</v>
      </c>
      <c r="H70" s="10">
        <f t="shared" si="14"/>
        <v>429</v>
      </c>
      <c r="I70" s="17">
        <v>184</v>
      </c>
      <c r="J70" s="17">
        <v>30</v>
      </c>
      <c r="K70" s="17">
        <v>20</v>
      </c>
      <c r="L70" s="17">
        <f t="shared" si="18"/>
        <v>214</v>
      </c>
      <c r="M70" s="18">
        <f t="shared" si="19"/>
        <v>-10</v>
      </c>
      <c r="N70" s="19">
        <v>3</v>
      </c>
      <c r="O70" s="19">
        <v>13</v>
      </c>
      <c r="P70" s="19">
        <v>8</v>
      </c>
      <c r="Q70" s="19">
        <f t="shared" si="20"/>
        <v>16</v>
      </c>
      <c r="R70" s="20">
        <f t="shared" si="21"/>
        <v>-5</v>
      </c>
      <c r="S70" s="21">
        <f t="shared" si="22"/>
        <v>230</v>
      </c>
      <c r="T70" s="21">
        <f t="shared" si="23"/>
        <v>43</v>
      </c>
      <c r="U70" s="21">
        <f>K70+P70</f>
        <v>28</v>
      </c>
      <c r="V70" s="21">
        <f t="shared" si="15"/>
        <v>-202</v>
      </c>
      <c r="W70" s="11">
        <f>I70+J70+K70</f>
        <v>234</v>
      </c>
      <c r="X70" s="11">
        <f>N70+O70+P70</f>
        <v>24</v>
      </c>
      <c r="Y70" s="12">
        <f t="shared" si="16"/>
        <v>258</v>
      </c>
      <c r="Z70" s="13">
        <f>I70+K70</f>
        <v>204</v>
      </c>
      <c r="AA70" s="13">
        <f>N70+P70</f>
        <v>11</v>
      </c>
      <c r="AB70" s="14">
        <f t="shared" si="17"/>
        <v>215</v>
      </c>
      <c r="AC70" s="35">
        <f>W70/F70</f>
        <v>0.58208955223880599</v>
      </c>
      <c r="AD70" s="35">
        <f>X70/G70</f>
        <v>0.88888888888888884</v>
      </c>
      <c r="AE70" s="15">
        <f>Y70/H70</f>
        <v>0.60139860139860135</v>
      </c>
      <c r="AF70" s="36">
        <f>Z70/F70</f>
        <v>0.5074626865671642</v>
      </c>
      <c r="AG70" s="36">
        <f>AA70/G70</f>
        <v>0.40740740740740738</v>
      </c>
      <c r="AH70" s="15">
        <f>AB70/H70</f>
        <v>0.50116550116550118</v>
      </c>
    </row>
    <row r="71" spans="1:34" x14ac:dyDescent="0.35">
      <c r="A71" s="8">
        <v>68</v>
      </c>
      <c r="B71" s="1" t="s">
        <v>166</v>
      </c>
      <c r="C71" s="1" t="s">
        <v>167</v>
      </c>
      <c r="D71" s="1" t="s">
        <v>61</v>
      </c>
      <c r="E71" s="1" t="s">
        <v>58</v>
      </c>
      <c r="F71" s="9">
        <v>1541</v>
      </c>
      <c r="G71" s="9">
        <v>279</v>
      </c>
      <c r="H71" s="10">
        <f t="shared" si="14"/>
        <v>1820</v>
      </c>
      <c r="I71" s="17">
        <v>908</v>
      </c>
      <c r="J71" s="17">
        <v>191</v>
      </c>
      <c r="K71" s="17">
        <v>104</v>
      </c>
      <c r="L71" s="17">
        <f t="shared" si="18"/>
        <v>1099</v>
      </c>
      <c r="M71" s="18">
        <f t="shared" si="19"/>
        <v>-87</v>
      </c>
      <c r="N71" s="19">
        <v>59</v>
      </c>
      <c r="O71" s="19">
        <v>74</v>
      </c>
      <c r="P71" s="19">
        <v>63</v>
      </c>
      <c r="Q71" s="19">
        <f t="shared" si="20"/>
        <v>133</v>
      </c>
      <c r="R71" s="20">
        <f t="shared" si="21"/>
        <v>-11</v>
      </c>
      <c r="S71" s="21">
        <f t="shared" si="22"/>
        <v>1232</v>
      </c>
      <c r="T71" s="21">
        <f t="shared" si="23"/>
        <v>265</v>
      </c>
      <c r="U71" s="21">
        <f>K71+P71</f>
        <v>167</v>
      </c>
      <c r="V71" s="21">
        <f t="shared" si="15"/>
        <v>-1065</v>
      </c>
      <c r="W71" s="11">
        <f>I71+J71+K71</f>
        <v>1203</v>
      </c>
      <c r="X71" s="11">
        <f>N71+O71+P71</f>
        <v>196</v>
      </c>
      <c r="Y71" s="12">
        <f t="shared" si="16"/>
        <v>1399</v>
      </c>
      <c r="Z71" s="13">
        <f>I71+K71</f>
        <v>1012</v>
      </c>
      <c r="AA71" s="13">
        <f>N71+P71</f>
        <v>122</v>
      </c>
      <c r="AB71" s="14">
        <f t="shared" si="17"/>
        <v>1134</v>
      </c>
      <c r="AC71" s="35">
        <f>W71/F71</f>
        <v>0.78066190785204415</v>
      </c>
      <c r="AD71" s="35">
        <f>X71/G71</f>
        <v>0.70250896057347667</v>
      </c>
      <c r="AE71" s="15">
        <f>Y71/H71</f>
        <v>0.76868131868131873</v>
      </c>
      <c r="AF71" s="36">
        <f>Z71/F71</f>
        <v>0.65671641791044777</v>
      </c>
      <c r="AG71" s="36">
        <f>AA71/G71</f>
        <v>0.43727598566308246</v>
      </c>
      <c r="AH71" s="15">
        <f>AB71/H71</f>
        <v>0.62307692307692308</v>
      </c>
    </row>
    <row r="72" spans="1:34" x14ac:dyDescent="0.35">
      <c r="A72" s="8">
        <v>69</v>
      </c>
      <c r="B72" s="1" t="s">
        <v>168</v>
      </c>
      <c r="C72" s="1" t="s">
        <v>169</v>
      </c>
      <c r="D72" s="1" t="s">
        <v>15</v>
      </c>
      <c r="E72" s="1" t="s">
        <v>58</v>
      </c>
      <c r="F72" s="9">
        <v>296</v>
      </c>
      <c r="G72" s="9">
        <v>12</v>
      </c>
      <c r="H72" s="10">
        <f t="shared" si="14"/>
        <v>308</v>
      </c>
      <c r="I72" s="17">
        <v>121</v>
      </c>
      <c r="J72" s="17">
        <v>18</v>
      </c>
      <c r="K72" s="17">
        <v>17</v>
      </c>
      <c r="L72" s="17">
        <f t="shared" si="18"/>
        <v>139</v>
      </c>
      <c r="M72" s="18">
        <f t="shared" si="19"/>
        <v>-1</v>
      </c>
      <c r="N72" s="19">
        <v>1</v>
      </c>
      <c r="O72" s="19">
        <v>8</v>
      </c>
      <c r="P72" s="19">
        <v>1</v>
      </c>
      <c r="Q72" s="19">
        <f t="shared" si="20"/>
        <v>9</v>
      </c>
      <c r="R72" s="20">
        <f t="shared" si="21"/>
        <v>-7</v>
      </c>
      <c r="S72" s="21">
        <f t="shared" si="22"/>
        <v>148</v>
      </c>
      <c r="T72" s="21">
        <f t="shared" si="23"/>
        <v>26</v>
      </c>
      <c r="U72" s="21">
        <f>K72+P72</f>
        <v>18</v>
      </c>
      <c r="V72" s="21">
        <f t="shared" si="15"/>
        <v>-130</v>
      </c>
      <c r="W72" s="11">
        <f>I72+J72+K72</f>
        <v>156</v>
      </c>
      <c r="X72" s="11">
        <f>N72+O72+P72</f>
        <v>10</v>
      </c>
      <c r="Y72" s="12">
        <f t="shared" si="16"/>
        <v>166</v>
      </c>
      <c r="Z72" s="13">
        <f>I72+K72</f>
        <v>138</v>
      </c>
      <c r="AA72" s="13">
        <f>N72+P72</f>
        <v>2</v>
      </c>
      <c r="AB72" s="14">
        <f t="shared" si="17"/>
        <v>140</v>
      </c>
      <c r="AC72" s="35">
        <f>W72/F72</f>
        <v>0.52702702702702697</v>
      </c>
      <c r="AD72" s="35">
        <f>X72/G72</f>
        <v>0.83333333333333337</v>
      </c>
      <c r="AE72" s="15">
        <f>Y72/H72</f>
        <v>0.53896103896103897</v>
      </c>
      <c r="AF72" s="36">
        <f>Z72/F72</f>
        <v>0.46621621621621623</v>
      </c>
      <c r="AG72" s="36">
        <f>AA72/G72</f>
        <v>0.16666666666666666</v>
      </c>
      <c r="AH72" s="15">
        <f>AB72/H72</f>
        <v>0.45454545454545453</v>
      </c>
    </row>
    <row r="73" spans="1:34" x14ac:dyDescent="0.35">
      <c r="A73" s="8">
        <v>70</v>
      </c>
      <c r="B73" s="1" t="s">
        <v>170</v>
      </c>
      <c r="C73" s="1" t="s">
        <v>171</v>
      </c>
      <c r="D73" s="1" t="s">
        <v>15</v>
      </c>
      <c r="E73" s="1" t="s">
        <v>51</v>
      </c>
      <c r="F73" s="9">
        <v>328</v>
      </c>
      <c r="G73" s="9">
        <v>30</v>
      </c>
      <c r="H73" s="10">
        <f t="shared" si="14"/>
        <v>358</v>
      </c>
      <c r="I73" s="17">
        <v>167</v>
      </c>
      <c r="J73" s="17">
        <v>20</v>
      </c>
      <c r="K73" s="17">
        <v>40</v>
      </c>
      <c r="L73" s="17">
        <f t="shared" si="18"/>
        <v>187</v>
      </c>
      <c r="M73" s="18">
        <f t="shared" si="19"/>
        <v>20</v>
      </c>
      <c r="N73" s="19">
        <v>2</v>
      </c>
      <c r="O73" s="19">
        <v>12</v>
      </c>
      <c r="P73" s="19">
        <v>9</v>
      </c>
      <c r="Q73" s="19">
        <f t="shared" si="20"/>
        <v>14</v>
      </c>
      <c r="R73" s="20">
        <f t="shared" si="21"/>
        <v>-3</v>
      </c>
      <c r="S73" s="21">
        <f t="shared" si="22"/>
        <v>201</v>
      </c>
      <c r="T73" s="21">
        <f t="shared" si="23"/>
        <v>32</v>
      </c>
      <c r="U73" s="21">
        <f>K73+P73</f>
        <v>49</v>
      </c>
      <c r="V73" s="21">
        <f t="shared" si="15"/>
        <v>-152</v>
      </c>
      <c r="W73" s="11">
        <f>I73+J73+K73</f>
        <v>227</v>
      </c>
      <c r="X73" s="11">
        <f>N73+O73+P73</f>
        <v>23</v>
      </c>
      <c r="Y73" s="12">
        <f t="shared" si="16"/>
        <v>250</v>
      </c>
      <c r="Z73" s="13">
        <f>I73+K73</f>
        <v>207</v>
      </c>
      <c r="AA73" s="13">
        <f>N73+P73</f>
        <v>11</v>
      </c>
      <c r="AB73" s="14">
        <f t="shared" si="17"/>
        <v>218</v>
      </c>
      <c r="AC73" s="35">
        <f>W73/F73</f>
        <v>0.69207317073170727</v>
      </c>
      <c r="AD73" s="35">
        <f>X73/G73</f>
        <v>0.76666666666666672</v>
      </c>
      <c r="AE73" s="15">
        <f>Y73/H73</f>
        <v>0.6983240223463687</v>
      </c>
      <c r="AF73" s="36">
        <f>Z73/F73</f>
        <v>0.63109756097560976</v>
      </c>
      <c r="AG73" s="36">
        <f>AA73/G73</f>
        <v>0.36666666666666664</v>
      </c>
      <c r="AH73" s="15">
        <f>AB73/H73</f>
        <v>0.60893854748603349</v>
      </c>
    </row>
    <row r="74" spans="1:34" x14ac:dyDescent="0.35">
      <c r="A74" s="8">
        <v>71</v>
      </c>
      <c r="B74" s="1" t="s">
        <v>172</v>
      </c>
      <c r="C74" s="1" t="s">
        <v>173</v>
      </c>
      <c r="D74" s="1" t="s">
        <v>15</v>
      </c>
      <c r="E74" s="1" t="s">
        <v>34</v>
      </c>
      <c r="F74" s="9">
        <v>321</v>
      </c>
      <c r="G74" s="9">
        <v>40</v>
      </c>
      <c r="H74" s="10">
        <f t="shared" si="14"/>
        <v>361</v>
      </c>
      <c r="I74" s="17">
        <v>94</v>
      </c>
      <c r="J74" s="17">
        <v>13</v>
      </c>
      <c r="K74" s="17">
        <v>34</v>
      </c>
      <c r="L74" s="17">
        <f t="shared" si="18"/>
        <v>107</v>
      </c>
      <c r="M74" s="18">
        <f t="shared" si="19"/>
        <v>21</v>
      </c>
      <c r="N74" s="19">
        <v>5</v>
      </c>
      <c r="O74" s="19">
        <v>18</v>
      </c>
      <c r="P74" s="19">
        <v>8</v>
      </c>
      <c r="Q74" s="19">
        <f t="shared" si="20"/>
        <v>23</v>
      </c>
      <c r="R74" s="20">
        <f t="shared" si="21"/>
        <v>-10</v>
      </c>
      <c r="S74" s="21">
        <f t="shared" si="22"/>
        <v>130</v>
      </c>
      <c r="T74" s="21">
        <f t="shared" si="23"/>
        <v>31</v>
      </c>
      <c r="U74" s="21">
        <f>K74+P74</f>
        <v>42</v>
      </c>
      <c r="V74" s="21">
        <f t="shared" si="15"/>
        <v>-88</v>
      </c>
      <c r="W74" s="11">
        <f>I74+J74+K74</f>
        <v>141</v>
      </c>
      <c r="X74" s="11">
        <f>N74+O74+P74</f>
        <v>31</v>
      </c>
      <c r="Y74" s="12">
        <f t="shared" si="16"/>
        <v>172</v>
      </c>
      <c r="Z74" s="13">
        <f>I74+K74</f>
        <v>128</v>
      </c>
      <c r="AA74" s="13">
        <f>N74+P74</f>
        <v>13</v>
      </c>
      <c r="AB74" s="14">
        <f t="shared" si="17"/>
        <v>141</v>
      </c>
      <c r="AC74" s="35">
        <f>W74/F74</f>
        <v>0.43925233644859812</v>
      </c>
      <c r="AD74" s="35">
        <f>X74/G74</f>
        <v>0.77500000000000002</v>
      </c>
      <c r="AE74" s="15">
        <f>Y74/H74</f>
        <v>0.47645429362880887</v>
      </c>
      <c r="AF74" s="36">
        <f>Z74/F74</f>
        <v>0.39875389408099687</v>
      </c>
      <c r="AG74" s="36">
        <f>AA74/G74</f>
        <v>0.32500000000000001</v>
      </c>
      <c r="AH74" s="15">
        <f>AB74/H74</f>
        <v>0.39058171745152354</v>
      </c>
    </row>
    <row r="75" spans="1:34" x14ac:dyDescent="0.35">
      <c r="A75" s="8">
        <v>72</v>
      </c>
      <c r="B75" s="1" t="s">
        <v>174</v>
      </c>
      <c r="C75" s="1" t="s">
        <v>175</v>
      </c>
      <c r="D75" s="1" t="s">
        <v>15</v>
      </c>
      <c r="E75" s="1" t="s">
        <v>16</v>
      </c>
      <c r="F75" s="9">
        <v>329</v>
      </c>
      <c r="G75" s="9">
        <v>77</v>
      </c>
      <c r="H75" s="10">
        <f t="shared" si="14"/>
        <v>406</v>
      </c>
      <c r="I75" s="17">
        <v>116</v>
      </c>
      <c r="J75" s="17">
        <v>46</v>
      </c>
      <c r="K75" s="17">
        <v>39</v>
      </c>
      <c r="L75" s="17">
        <f t="shared" si="18"/>
        <v>162</v>
      </c>
      <c r="M75" s="18">
        <f t="shared" si="19"/>
        <v>-7</v>
      </c>
      <c r="N75" s="19">
        <v>4</v>
      </c>
      <c r="O75" s="19">
        <v>19</v>
      </c>
      <c r="P75" s="19">
        <v>17</v>
      </c>
      <c r="Q75" s="19">
        <f t="shared" si="20"/>
        <v>23</v>
      </c>
      <c r="R75" s="20">
        <f t="shared" si="21"/>
        <v>-2</v>
      </c>
      <c r="S75" s="21">
        <f t="shared" si="22"/>
        <v>185</v>
      </c>
      <c r="T75" s="21">
        <f t="shared" si="23"/>
        <v>65</v>
      </c>
      <c r="U75" s="21">
        <f>K75+P75</f>
        <v>56</v>
      </c>
      <c r="V75" s="21">
        <f t="shared" si="15"/>
        <v>-129</v>
      </c>
      <c r="W75" s="11">
        <f>I75+J75+K75</f>
        <v>201</v>
      </c>
      <c r="X75" s="11">
        <f>N75+O75+P75</f>
        <v>40</v>
      </c>
      <c r="Y75" s="12">
        <f t="shared" si="16"/>
        <v>241</v>
      </c>
      <c r="Z75" s="13">
        <f>I75+K75</f>
        <v>155</v>
      </c>
      <c r="AA75" s="13">
        <f>N75+P75</f>
        <v>21</v>
      </c>
      <c r="AB75" s="14">
        <f t="shared" si="17"/>
        <v>176</v>
      </c>
      <c r="AC75" s="35">
        <f>W75/F75</f>
        <v>0.61094224924012153</v>
      </c>
      <c r="AD75" s="35">
        <f>X75/G75</f>
        <v>0.51948051948051943</v>
      </c>
      <c r="AE75" s="15">
        <f>Y75/H75</f>
        <v>0.59359605911330049</v>
      </c>
      <c r="AF75" s="36">
        <f>Z75/F75</f>
        <v>0.47112462006079026</v>
      </c>
      <c r="AG75" s="36">
        <f>AA75/G75</f>
        <v>0.27272727272727271</v>
      </c>
      <c r="AH75" s="15">
        <f>AB75/H75</f>
        <v>0.43349753694581283</v>
      </c>
    </row>
    <row r="76" spans="1:34" x14ac:dyDescent="0.35">
      <c r="A76" s="8">
        <v>73</v>
      </c>
      <c r="B76" s="1" t="s">
        <v>176</v>
      </c>
      <c r="C76" s="1" t="s">
        <v>177</v>
      </c>
      <c r="D76" s="1" t="s">
        <v>15</v>
      </c>
      <c r="E76" s="1" t="s">
        <v>58</v>
      </c>
      <c r="F76" s="9">
        <v>366</v>
      </c>
      <c r="G76" s="9">
        <v>44</v>
      </c>
      <c r="H76" s="10">
        <f t="shared" si="14"/>
        <v>410</v>
      </c>
      <c r="I76" s="17">
        <v>161</v>
      </c>
      <c r="J76" s="17">
        <v>47</v>
      </c>
      <c r="K76" s="17">
        <v>17</v>
      </c>
      <c r="L76" s="17">
        <f t="shared" si="18"/>
        <v>208</v>
      </c>
      <c r="M76" s="18">
        <f t="shared" si="19"/>
        <v>-30</v>
      </c>
      <c r="N76" s="19">
        <v>17</v>
      </c>
      <c r="O76" s="19">
        <v>20</v>
      </c>
      <c r="P76" s="19">
        <v>18</v>
      </c>
      <c r="Q76" s="19">
        <f t="shared" si="20"/>
        <v>37</v>
      </c>
      <c r="R76" s="20">
        <f t="shared" si="21"/>
        <v>-2</v>
      </c>
      <c r="S76" s="21">
        <f t="shared" si="22"/>
        <v>245</v>
      </c>
      <c r="T76" s="21">
        <f t="shared" si="23"/>
        <v>67</v>
      </c>
      <c r="U76" s="21">
        <f>K76+P76</f>
        <v>35</v>
      </c>
      <c r="V76" s="21">
        <f t="shared" si="15"/>
        <v>-210</v>
      </c>
      <c r="W76" s="11">
        <f>I76+J76+K76</f>
        <v>225</v>
      </c>
      <c r="X76" s="11">
        <f>N76+O76+P76</f>
        <v>55</v>
      </c>
      <c r="Y76" s="12">
        <f t="shared" si="16"/>
        <v>280</v>
      </c>
      <c r="Z76" s="13">
        <f>I76+K76</f>
        <v>178</v>
      </c>
      <c r="AA76" s="13">
        <f>N76+P76</f>
        <v>35</v>
      </c>
      <c r="AB76" s="14">
        <f t="shared" si="17"/>
        <v>213</v>
      </c>
      <c r="AC76" s="35">
        <f>W76/F76</f>
        <v>0.61475409836065575</v>
      </c>
      <c r="AD76" s="35">
        <f>X76/G76</f>
        <v>1.25</v>
      </c>
      <c r="AE76" s="15">
        <f>Y76/H76</f>
        <v>0.68292682926829273</v>
      </c>
      <c r="AF76" s="36">
        <f>Z76/F76</f>
        <v>0.48633879781420764</v>
      </c>
      <c r="AG76" s="36">
        <f>AA76/G76</f>
        <v>0.79545454545454541</v>
      </c>
      <c r="AH76" s="15">
        <f>AB76/H76</f>
        <v>0.51951219512195124</v>
      </c>
    </row>
    <row r="77" spans="1:34" x14ac:dyDescent="0.35">
      <c r="A77" s="8">
        <v>74</v>
      </c>
      <c r="B77" s="1" t="s">
        <v>178</v>
      </c>
      <c r="C77" s="1" t="s">
        <v>179</v>
      </c>
      <c r="D77" s="1" t="s">
        <v>61</v>
      </c>
      <c r="E77" s="1" t="s">
        <v>88</v>
      </c>
      <c r="F77" s="9">
        <v>1133</v>
      </c>
      <c r="G77" s="9">
        <v>131</v>
      </c>
      <c r="H77" s="10">
        <f t="shared" si="14"/>
        <v>1264</v>
      </c>
      <c r="I77" s="17">
        <v>358</v>
      </c>
      <c r="J77" s="17">
        <v>100</v>
      </c>
      <c r="K77" s="17">
        <v>55</v>
      </c>
      <c r="L77" s="17">
        <f t="shared" si="18"/>
        <v>458</v>
      </c>
      <c r="M77" s="18">
        <f t="shared" si="19"/>
        <v>-45</v>
      </c>
      <c r="N77" s="19">
        <v>9</v>
      </c>
      <c r="O77" s="19">
        <v>28</v>
      </c>
      <c r="P77" s="19">
        <v>9</v>
      </c>
      <c r="Q77" s="19">
        <f t="shared" si="20"/>
        <v>37</v>
      </c>
      <c r="R77" s="20">
        <f t="shared" si="21"/>
        <v>-19</v>
      </c>
      <c r="S77" s="21">
        <f t="shared" si="22"/>
        <v>495</v>
      </c>
      <c r="T77" s="21">
        <f t="shared" si="23"/>
        <v>128</v>
      </c>
      <c r="U77" s="21">
        <f>K77+P77</f>
        <v>64</v>
      </c>
      <c r="V77" s="21">
        <f t="shared" si="15"/>
        <v>-431</v>
      </c>
      <c r="W77" s="11">
        <f>I77+J77+K77</f>
        <v>513</v>
      </c>
      <c r="X77" s="11">
        <f>N77+O77+P77</f>
        <v>46</v>
      </c>
      <c r="Y77" s="12">
        <f t="shared" si="16"/>
        <v>559</v>
      </c>
      <c r="Z77" s="13">
        <f>I77+K77</f>
        <v>413</v>
      </c>
      <c r="AA77" s="13">
        <f>N77+P77</f>
        <v>18</v>
      </c>
      <c r="AB77" s="14">
        <f t="shared" si="17"/>
        <v>431</v>
      </c>
      <c r="AC77" s="35">
        <f>W77/F77</f>
        <v>0.45278022947925861</v>
      </c>
      <c r="AD77" s="35">
        <f>X77/G77</f>
        <v>0.35114503816793891</v>
      </c>
      <c r="AE77" s="15">
        <f>Y77/H77</f>
        <v>0.442246835443038</v>
      </c>
      <c r="AF77" s="36">
        <f>Z77/F77</f>
        <v>0.36451897616946161</v>
      </c>
      <c r="AG77" s="36">
        <f>AA77/G77</f>
        <v>0.13740458015267176</v>
      </c>
      <c r="AH77" s="15">
        <f>AB77/H77</f>
        <v>0.34098101265822783</v>
      </c>
    </row>
    <row r="78" spans="1:34" x14ac:dyDescent="0.35">
      <c r="A78" s="8">
        <v>75</v>
      </c>
      <c r="B78" s="1" t="s">
        <v>180</v>
      </c>
      <c r="C78" s="1" t="s">
        <v>181</v>
      </c>
      <c r="D78" s="1" t="s">
        <v>15</v>
      </c>
      <c r="E78" s="1" t="s">
        <v>58</v>
      </c>
      <c r="F78" s="9">
        <v>273</v>
      </c>
      <c r="G78" s="9">
        <v>30</v>
      </c>
      <c r="H78" s="10">
        <f t="shared" si="14"/>
        <v>303</v>
      </c>
      <c r="I78" s="17">
        <v>180</v>
      </c>
      <c r="J78" s="17">
        <v>3</v>
      </c>
      <c r="K78" s="17">
        <v>41</v>
      </c>
      <c r="L78" s="17">
        <f t="shared" si="18"/>
        <v>183</v>
      </c>
      <c r="M78" s="18">
        <f t="shared" si="19"/>
        <v>38</v>
      </c>
      <c r="N78" s="19">
        <v>15</v>
      </c>
      <c r="O78" s="19">
        <v>2</v>
      </c>
      <c r="P78" s="19">
        <v>18</v>
      </c>
      <c r="Q78" s="19">
        <f t="shared" si="20"/>
        <v>17</v>
      </c>
      <c r="R78" s="20">
        <f t="shared" si="21"/>
        <v>16</v>
      </c>
      <c r="S78" s="21">
        <f t="shared" si="22"/>
        <v>200</v>
      </c>
      <c r="T78" s="21">
        <f t="shared" si="23"/>
        <v>5</v>
      </c>
      <c r="U78" s="21">
        <f>K78+P78</f>
        <v>59</v>
      </c>
      <c r="V78" s="21">
        <f t="shared" si="15"/>
        <v>-141</v>
      </c>
      <c r="W78" s="11">
        <f>I78+J78+K78</f>
        <v>224</v>
      </c>
      <c r="X78" s="11">
        <f>N78+O78+P78</f>
        <v>35</v>
      </c>
      <c r="Y78" s="12">
        <f t="shared" si="16"/>
        <v>259</v>
      </c>
      <c r="Z78" s="13">
        <f>I78+K78</f>
        <v>221</v>
      </c>
      <c r="AA78" s="13">
        <f>N78+P78</f>
        <v>33</v>
      </c>
      <c r="AB78" s="14">
        <f t="shared" si="17"/>
        <v>254</v>
      </c>
      <c r="AC78" s="35">
        <f>W78/F78</f>
        <v>0.82051282051282048</v>
      </c>
      <c r="AD78" s="35">
        <f>X78/G78</f>
        <v>1.1666666666666667</v>
      </c>
      <c r="AE78" s="15">
        <f>Y78/H78</f>
        <v>0.8547854785478548</v>
      </c>
      <c r="AF78" s="36">
        <f>Z78/F78</f>
        <v>0.80952380952380953</v>
      </c>
      <c r="AG78" s="36">
        <f>AA78/G78</f>
        <v>1.1000000000000001</v>
      </c>
      <c r="AH78" s="15">
        <f>AB78/H78</f>
        <v>0.83828382838283833</v>
      </c>
    </row>
    <row r="79" spans="1:34" x14ac:dyDescent="0.35">
      <c r="A79" s="8">
        <v>76</v>
      </c>
      <c r="B79" s="1" t="s">
        <v>182</v>
      </c>
      <c r="C79" s="1" t="s">
        <v>183</v>
      </c>
      <c r="D79" s="1" t="s">
        <v>15</v>
      </c>
      <c r="E79" s="1" t="s">
        <v>16</v>
      </c>
      <c r="F79" s="9">
        <v>182</v>
      </c>
      <c r="G79" s="9">
        <v>196</v>
      </c>
      <c r="H79" s="10">
        <f t="shared" si="14"/>
        <v>378</v>
      </c>
      <c r="I79" s="17">
        <v>141</v>
      </c>
      <c r="J79" s="17">
        <v>20</v>
      </c>
      <c r="K79" s="17">
        <v>18</v>
      </c>
      <c r="L79" s="17">
        <f t="shared" si="18"/>
        <v>161</v>
      </c>
      <c r="M79" s="18">
        <f t="shared" si="19"/>
        <v>-2</v>
      </c>
      <c r="N79" s="19">
        <v>1</v>
      </c>
      <c r="O79" s="19">
        <v>9</v>
      </c>
      <c r="P79" s="19">
        <v>3</v>
      </c>
      <c r="Q79" s="19">
        <f t="shared" si="20"/>
        <v>10</v>
      </c>
      <c r="R79" s="20">
        <f t="shared" si="21"/>
        <v>-6</v>
      </c>
      <c r="S79" s="21">
        <f t="shared" si="22"/>
        <v>171</v>
      </c>
      <c r="T79" s="21">
        <f t="shared" si="23"/>
        <v>29</v>
      </c>
      <c r="U79" s="21">
        <f>K79+P79</f>
        <v>21</v>
      </c>
      <c r="V79" s="21">
        <f t="shared" si="15"/>
        <v>-150</v>
      </c>
      <c r="W79" s="11">
        <f>I79+J79+K79</f>
        <v>179</v>
      </c>
      <c r="X79" s="11">
        <f>N79+O79+P79</f>
        <v>13</v>
      </c>
      <c r="Y79" s="12">
        <f t="shared" si="16"/>
        <v>192</v>
      </c>
      <c r="Z79" s="13">
        <f>I79+K79</f>
        <v>159</v>
      </c>
      <c r="AA79" s="13">
        <f>N79+P79</f>
        <v>4</v>
      </c>
      <c r="AB79" s="14">
        <f t="shared" si="17"/>
        <v>163</v>
      </c>
      <c r="AC79" s="35">
        <f>W79/F79</f>
        <v>0.98351648351648346</v>
      </c>
      <c r="AD79" s="35">
        <f>X79/G79</f>
        <v>6.6326530612244902E-2</v>
      </c>
      <c r="AE79" s="15">
        <f>Y79/H79</f>
        <v>0.50793650793650791</v>
      </c>
      <c r="AF79" s="36">
        <f>Z79/F79</f>
        <v>0.87362637362637363</v>
      </c>
      <c r="AG79" s="36">
        <f>AA79/G79</f>
        <v>2.0408163265306121E-2</v>
      </c>
      <c r="AH79" s="15">
        <f>AB79/H79</f>
        <v>0.43121693121693122</v>
      </c>
    </row>
    <row r="80" spans="1:34" x14ac:dyDescent="0.35">
      <c r="A80" s="8">
        <v>77</v>
      </c>
      <c r="B80" s="1" t="s">
        <v>184</v>
      </c>
      <c r="C80" s="1" t="s">
        <v>185</v>
      </c>
      <c r="D80" s="1" t="s">
        <v>15</v>
      </c>
      <c r="E80" s="1" t="s">
        <v>29</v>
      </c>
      <c r="F80" s="9">
        <v>288</v>
      </c>
      <c r="G80" s="9">
        <v>22</v>
      </c>
      <c r="H80" s="10">
        <f t="shared" si="14"/>
        <v>310</v>
      </c>
      <c r="I80" s="17">
        <v>98</v>
      </c>
      <c r="J80" s="17">
        <v>77</v>
      </c>
      <c r="K80" s="17">
        <v>25</v>
      </c>
      <c r="L80" s="17">
        <f t="shared" si="18"/>
        <v>175</v>
      </c>
      <c r="M80" s="18">
        <f t="shared" si="19"/>
        <v>-52</v>
      </c>
      <c r="N80" s="19">
        <v>2</v>
      </c>
      <c r="O80" s="19">
        <v>10</v>
      </c>
      <c r="P80" s="19">
        <v>10</v>
      </c>
      <c r="Q80" s="19">
        <f t="shared" si="20"/>
        <v>12</v>
      </c>
      <c r="R80" s="20">
        <f t="shared" si="21"/>
        <v>0</v>
      </c>
      <c r="S80" s="21">
        <f t="shared" si="22"/>
        <v>187</v>
      </c>
      <c r="T80" s="21">
        <f t="shared" si="23"/>
        <v>87</v>
      </c>
      <c r="U80" s="21">
        <f>K80+P80</f>
        <v>35</v>
      </c>
      <c r="V80" s="21">
        <f t="shared" si="15"/>
        <v>-152</v>
      </c>
      <c r="W80" s="11">
        <f>I80+J80+K80</f>
        <v>200</v>
      </c>
      <c r="X80" s="11">
        <f>N80+O80+P80</f>
        <v>22</v>
      </c>
      <c r="Y80" s="12">
        <f t="shared" si="16"/>
        <v>222</v>
      </c>
      <c r="Z80" s="13">
        <f>I80+K80</f>
        <v>123</v>
      </c>
      <c r="AA80" s="13">
        <f>N80+P80</f>
        <v>12</v>
      </c>
      <c r="AB80" s="14">
        <f t="shared" si="17"/>
        <v>135</v>
      </c>
      <c r="AC80" s="35">
        <f>W80/F80</f>
        <v>0.69444444444444442</v>
      </c>
      <c r="AD80" s="35">
        <f>X80/G80</f>
        <v>1</v>
      </c>
      <c r="AE80" s="15">
        <f>Y80/H80</f>
        <v>0.71612903225806457</v>
      </c>
      <c r="AF80" s="36">
        <f>Z80/F80</f>
        <v>0.42708333333333331</v>
      </c>
      <c r="AG80" s="36">
        <f>AA80/G80</f>
        <v>0.54545454545454541</v>
      </c>
      <c r="AH80" s="15">
        <f>AB80/H80</f>
        <v>0.43548387096774194</v>
      </c>
    </row>
    <row r="81" spans="1:34" x14ac:dyDescent="0.35">
      <c r="A81" s="8">
        <v>78</v>
      </c>
      <c r="B81" s="1" t="s">
        <v>186</v>
      </c>
      <c r="C81" s="1" t="s">
        <v>187</v>
      </c>
      <c r="D81" s="1" t="s">
        <v>15</v>
      </c>
      <c r="E81" s="1" t="s">
        <v>96</v>
      </c>
      <c r="F81" s="9">
        <v>253</v>
      </c>
      <c r="G81" s="9">
        <v>26</v>
      </c>
      <c r="H81" s="10">
        <f t="shared" si="14"/>
        <v>279</v>
      </c>
      <c r="I81" s="17">
        <v>92</v>
      </c>
      <c r="J81" s="17">
        <v>12</v>
      </c>
      <c r="K81" s="17">
        <v>8</v>
      </c>
      <c r="L81" s="17">
        <f t="shared" si="18"/>
        <v>104</v>
      </c>
      <c r="M81" s="18">
        <f t="shared" si="19"/>
        <v>-4</v>
      </c>
      <c r="N81" s="19">
        <v>1</v>
      </c>
      <c r="O81" s="19">
        <v>6</v>
      </c>
      <c r="P81" s="19">
        <v>2</v>
      </c>
      <c r="Q81" s="19">
        <f t="shared" si="20"/>
        <v>7</v>
      </c>
      <c r="R81" s="20">
        <f t="shared" si="21"/>
        <v>-4</v>
      </c>
      <c r="S81" s="21">
        <f t="shared" si="22"/>
        <v>111</v>
      </c>
      <c r="T81" s="21">
        <f t="shared" si="23"/>
        <v>18</v>
      </c>
      <c r="U81" s="21">
        <f>K81+P81</f>
        <v>10</v>
      </c>
      <c r="V81" s="21">
        <f t="shared" si="15"/>
        <v>-101</v>
      </c>
      <c r="W81" s="11">
        <f>I81+J81+K81</f>
        <v>112</v>
      </c>
      <c r="X81" s="11">
        <f>N81+O81+P81</f>
        <v>9</v>
      </c>
      <c r="Y81" s="12">
        <f t="shared" si="16"/>
        <v>121</v>
      </c>
      <c r="Z81" s="13">
        <f>I81+K81</f>
        <v>100</v>
      </c>
      <c r="AA81" s="13">
        <f>N81+P81</f>
        <v>3</v>
      </c>
      <c r="AB81" s="14">
        <f t="shared" si="17"/>
        <v>103</v>
      </c>
      <c r="AC81" s="35">
        <f>W81/F81</f>
        <v>0.44268774703557312</v>
      </c>
      <c r="AD81" s="35">
        <f>X81/G81</f>
        <v>0.34615384615384615</v>
      </c>
      <c r="AE81" s="15">
        <f>Y81/H81</f>
        <v>0.43369175627240142</v>
      </c>
      <c r="AF81" s="36">
        <f>Z81/F81</f>
        <v>0.39525691699604742</v>
      </c>
      <c r="AG81" s="36">
        <f>AA81/G81</f>
        <v>0.11538461538461539</v>
      </c>
      <c r="AH81" s="15">
        <f>AB81/H81</f>
        <v>0.36917562724014336</v>
      </c>
    </row>
    <row r="82" spans="1:34" x14ac:dyDescent="0.35">
      <c r="A82" s="8">
        <v>79</v>
      </c>
      <c r="B82" s="1" t="s">
        <v>188</v>
      </c>
      <c r="C82" s="1" t="s">
        <v>189</v>
      </c>
      <c r="D82" s="1" t="s">
        <v>15</v>
      </c>
      <c r="E82" s="1" t="s">
        <v>16</v>
      </c>
      <c r="F82" s="9">
        <v>292</v>
      </c>
      <c r="G82" s="9">
        <v>81</v>
      </c>
      <c r="H82" s="10">
        <f t="shared" si="14"/>
        <v>373</v>
      </c>
      <c r="I82" s="17">
        <v>113</v>
      </c>
      <c r="J82" s="17">
        <v>33</v>
      </c>
      <c r="K82" s="17">
        <v>10</v>
      </c>
      <c r="L82" s="17">
        <f t="shared" si="18"/>
        <v>146</v>
      </c>
      <c r="M82" s="18">
        <f t="shared" si="19"/>
        <v>-23</v>
      </c>
      <c r="N82" s="19">
        <v>15</v>
      </c>
      <c r="O82" s="19">
        <v>12</v>
      </c>
      <c r="P82" s="19">
        <v>22</v>
      </c>
      <c r="Q82" s="19">
        <f t="shared" si="20"/>
        <v>27</v>
      </c>
      <c r="R82" s="20">
        <f t="shared" si="21"/>
        <v>10</v>
      </c>
      <c r="S82" s="21">
        <f t="shared" si="22"/>
        <v>173</v>
      </c>
      <c r="T82" s="21">
        <f t="shared" si="23"/>
        <v>45</v>
      </c>
      <c r="U82" s="21">
        <f>K82+P82</f>
        <v>32</v>
      </c>
      <c r="V82" s="21">
        <f t="shared" si="15"/>
        <v>-141</v>
      </c>
      <c r="W82" s="11">
        <f>I82+J82+K82</f>
        <v>156</v>
      </c>
      <c r="X82" s="11">
        <f>N82+O82+P82</f>
        <v>49</v>
      </c>
      <c r="Y82" s="12">
        <f t="shared" si="16"/>
        <v>205</v>
      </c>
      <c r="Z82" s="13">
        <f>I82+K82</f>
        <v>123</v>
      </c>
      <c r="AA82" s="13">
        <f>N82+P82</f>
        <v>37</v>
      </c>
      <c r="AB82" s="14">
        <f t="shared" si="17"/>
        <v>160</v>
      </c>
      <c r="AC82" s="35">
        <f>W82/F82</f>
        <v>0.53424657534246578</v>
      </c>
      <c r="AD82" s="35">
        <f>X82/G82</f>
        <v>0.60493827160493829</v>
      </c>
      <c r="AE82" s="15">
        <f>Y82/H82</f>
        <v>0.54959785522788207</v>
      </c>
      <c r="AF82" s="36">
        <f>Z82/F82</f>
        <v>0.42123287671232879</v>
      </c>
      <c r="AG82" s="36">
        <f>AA82/G82</f>
        <v>0.4567901234567901</v>
      </c>
      <c r="AH82" s="15">
        <f>AB82/H82</f>
        <v>0.42895442359249331</v>
      </c>
    </row>
    <row r="83" spans="1:34" x14ac:dyDescent="0.35">
      <c r="A83" s="8">
        <v>80</v>
      </c>
      <c r="B83" s="1" t="s">
        <v>190</v>
      </c>
      <c r="C83" s="1" t="s">
        <v>191</v>
      </c>
      <c r="D83" s="1" t="s">
        <v>15</v>
      </c>
      <c r="E83" s="1" t="s">
        <v>34</v>
      </c>
      <c r="F83" s="9">
        <v>304</v>
      </c>
      <c r="G83" s="9">
        <v>53</v>
      </c>
      <c r="H83" s="10">
        <f t="shared" si="14"/>
        <v>357</v>
      </c>
      <c r="I83" s="17">
        <v>85</v>
      </c>
      <c r="J83" s="17">
        <v>104</v>
      </c>
      <c r="K83" s="17">
        <v>13</v>
      </c>
      <c r="L83" s="17">
        <f t="shared" si="18"/>
        <v>189</v>
      </c>
      <c r="M83" s="18">
        <f t="shared" si="19"/>
        <v>-91</v>
      </c>
      <c r="N83" s="19">
        <v>2</v>
      </c>
      <c r="O83" s="19">
        <v>3</v>
      </c>
      <c r="P83" s="19">
        <v>5</v>
      </c>
      <c r="Q83" s="19">
        <f t="shared" si="20"/>
        <v>5</v>
      </c>
      <c r="R83" s="20">
        <f t="shared" si="21"/>
        <v>2</v>
      </c>
      <c r="S83" s="21">
        <f t="shared" si="22"/>
        <v>194</v>
      </c>
      <c r="T83" s="21">
        <f t="shared" si="23"/>
        <v>107</v>
      </c>
      <c r="U83" s="21">
        <f>K83+P83</f>
        <v>18</v>
      </c>
      <c r="V83" s="21">
        <f t="shared" si="15"/>
        <v>-176</v>
      </c>
      <c r="W83" s="11">
        <f>I83+J83+K83</f>
        <v>202</v>
      </c>
      <c r="X83" s="11">
        <f>N83+O83+P83</f>
        <v>10</v>
      </c>
      <c r="Y83" s="12">
        <f t="shared" si="16"/>
        <v>212</v>
      </c>
      <c r="Z83" s="13">
        <f>I83+K83</f>
        <v>98</v>
      </c>
      <c r="AA83" s="13">
        <f>N83+P83</f>
        <v>7</v>
      </c>
      <c r="AB83" s="14">
        <f t="shared" si="17"/>
        <v>105</v>
      </c>
      <c r="AC83" s="35">
        <f>W83/F83</f>
        <v>0.66447368421052633</v>
      </c>
      <c r="AD83" s="35">
        <f>X83/G83</f>
        <v>0.18867924528301888</v>
      </c>
      <c r="AE83" s="15">
        <f>Y83/H83</f>
        <v>0.5938375350140056</v>
      </c>
      <c r="AF83" s="36">
        <f>Z83/F83</f>
        <v>0.32236842105263158</v>
      </c>
      <c r="AG83" s="36">
        <f>AA83/G83</f>
        <v>0.13207547169811321</v>
      </c>
      <c r="AH83" s="15">
        <f>AB83/H83</f>
        <v>0.29411764705882354</v>
      </c>
    </row>
    <row r="84" spans="1:34" x14ac:dyDescent="0.35">
      <c r="A84" s="8">
        <v>81</v>
      </c>
      <c r="B84" s="1" t="s">
        <v>192</v>
      </c>
      <c r="C84" s="1" t="s">
        <v>193</v>
      </c>
      <c r="D84" s="1" t="s">
        <v>15</v>
      </c>
      <c r="E84" s="1" t="s">
        <v>29</v>
      </c>
      <c r="F84" s="9">
        <v>323</v>
      </c>
      <c r="G84" s="9">
        <v>18</v>
      </c>
      <c r="H84" s="10">
        <f t="shared" si="14"/>
        <v>341</v>
      </c>
      <c r="I84" s="17">
        <v>104</v>
      </c>
      <c r="J84" s="17">
        <v>8</v>
      </c>
      <c r="K84" s="17">
        <v>23</v>
      </c>
      <c r="L84" s="17">
        <f t="shared" si="18"/>
        <v>112</v>
      </c>
      <c r="M84" s="18">
        <f t="shared" si="19"/>
        <v>15</v>
      </c>
      <c r="N84" s="19">
        <v>1</v>
      </c>
      <c r="O84" s="19">
        <v>0</v>
      </c>
      <c r="P84" s="19">
        <v>1</v>
      </c>
      <c r="Q84" s="19">
        <f t="shared" si="20"/>
        <v>1</v>
      </c>
      <c r="R84" s="20">
        <f t="shared" si="21"/>
        <v>1</v>
      </c>
      <c r="S84" s="21">
        <f t="shared" si="22"/>
        <v>113</v>
      </c>
      <c r="T84" s="21">
        <f t="shared" si="23"/>
        <v>8</v>
      </c>
      <c r="U84" s="21">
        <f>K84+P84</f>
        <v>24</v>
      </c>
      <c r="V84" s="21">
        <f t="shared" si="15"/>
        <v>-89</v>
      </c>
      <c r="W84" s="11">
        <f>I84+J84+K84</f>
        <v>135</v>
      </c>
      <c r="X84" s="11">
        <f>N84+O84+P84</f>
        <v>2</v>
      </c>
      <c r="Y84" s="12">
        <f t="shared" si="16"/>
        <v>137</v>
      </c>
      <c r="Z84" s="13">
        <f>I84+K84</f>
        <v>127</v>
      </c>
      <c r="AA84" s="13">
        <f>N84+P84</f>
        <v>2</v>
      </c>
      <c r="AB84" s="14">
        <f t="shared" si="17"/>
        <v>129</v>
      </c>
      <c r="AC84" s="35">
        <f>W84/F84</f>
        <v>0.41795665634674922</v>
      </c>
      <c r="AD84" s="35">
        <f>X84/G84</f>
        <v>0.1111111111111111</v>
      </c>
      <c r="AE84" s="15">
        <f>Y84/H84</f>
        <v>0.40175953079178883</v>
      </c>
      <c r="AF84" s="36">
        <f>Z84/F84</f>
        <v>0.39318885448916407</v>
      </c>
      <c r="AG84" s="36">
        <f>AA84/G84</f>
        <v>0.1111111111111111</v>
      </c>
      <c r="AH84" s="15">
        <f>AB84/H84</f>
        <v>0.3782991202346041</v>
      </c>
    </row>
    <row r="85" spans="1:34" x14ac:dyDescent="0.35">
      <c r="A85" s="8">
        <v>82</v>
      </c>
      <c r="B85" s="1" t="s">
        <v>194</v>
      </c>
      <c r="C85" s="1" t="s">
        <v>195</v>
      </c>
      <c r="D85" s="1" t="s">
        <v>15</v>
      </c>
      <c r="E85" s="1" t="s">
        <v>68</v>
      </c>
      <c r="F85" s="9">
        <v>283</v>
      </c>
      <c r="G85" s="9">
        <v>36</v>
      </c>
      <c r="H85" s="10">
        <f t="shared" si="14"/>
        <v>319</v>
      </c>
      <c r="I85" s="17">
        <v>153</v>
      </c>
      <c r="J85" s="17">
        <v>52</v>
      </c>
      <c r="K85" s="17">
        <v>40</v>
      </c>
      <c r="L85" s="17">
        <f t="shared" si="18"/>
        <v>205</v>
      </c>
      <c r="M85" s="18">
        <f t="shared" si="19"/>
        <v>-12</v>
      </c>
      <c r="N85" s="19">
        <v>6</v>
      </c>
      <c r="O85" s="19">
        <v>10</v>
      </c>
      <c r="P85" s="19">
        <v>9</v>
      </c>
      <c r="Q85" s="19">
        <f t="shared" si="20"/>
        <v>16</v>
      </c>
      <c r="R85" s="20">
        <f t="shared" si="21"/>
        <v>-1</v>
      </c>
      <c r="S85" s="21">
        <f t="shared" si="22"/>
        <v>221</v>
      </c>
      <c r="T85" s="21">
        <f t="shared" si="23"/>
        <v>62</v>
      </c>
      <c r="U85" s="21">
        <f>K85+P85</f>
        <v>49</v>
      </c>
      <c r="V85" s="21">
        <f t="shared" si="15"/>
        <v>-172</v>
      </c>
      <c r="W85" s="11">
        <f>I85+J85+K85</f>
        <v>245</v>
      </c>
      <c r="X85" s="11">
        <f>N85+O85+P85</f>
        <v>25</v>
      </c>
      <c r="Y85" s="12">
        <f t="shared" si="16"/>
        <v>270</v>
      </c>
      <c r="Z85" s="13">
        <f>I85+K85</f>
        <v>193</v>
      </c>
      <c r="AA85" s="13">
        <f>N85+P85</f>
        <v>15</v>
      </c>
      <c r="AB85" s="14">
        <f t="shared" si="17"/>
        <v>208</v>
      </c>
      <c r="AC85" s="35">
        <f>W85/F85</f>
        <v>0.86572438162544174</v>
      </c>
      <c r="AD85" s="35">
        <f>X85/G85</f>
        <v>0.69444444444444442</v>
      </c>
      <c r="AE85" s="15">
        <f>Y85/H85</f>
        <v>0.84639498432601878</v>
      </c>
      <c r="AF85" s="36">
        <f>Z85/F85</f>
        <v>0.6819787985865724</v>
      </c>
      <c r="AG85" s="36">
        <f>AA85/G85</f>
        <v>0.41666666666666669</v>
      </c>
      <c r="AH85" s="15">
        <f>AB85/H85</f>
        <v>0.65203761755485889</v>
      </c>
    </row>
    <row r="86" spans="1:34" x14ac:dyDescent="0.35">
      <c r="A86" s="8">
        <v>83</v>
      </c>
      <c r="B86" s="1" t="s">
        <v>196</v>
      </c>
      <c r="C86" s="1" t="s">
        <v>197</v>
      </c>
      <c r="D86" s="1" t="s">
        <v>15</v>
      </c>
      <c r="E86" s="1" t="s">
        <v>29</v>
      </c>
      <c r="F86" s="9">
        <v>300</v>
      </c>
      <c r="G86" s="9">
        <v>36</v>
      </c>
      <c r="H86" s="10">
        <f t="shared" ref="H86:H117" si="24">F86+G86</f>
        <v>336</v>
      </c>
      <c r="I86" s="17">
        <v>149</v>
      </c>
      <c r="J86" s="17">
        <v>19</v>
      </c>
      <c r="K86" s="17">
        <v>26</v>
      </c>
      <c r="L86" s="17">
        <f t="shared" si="18"/>
        <v>168</v>
      </c>
      <c r="M86" s="18">
        <f t="shared" si="19"/>
        <v>7</v>
      </c>
      <c r="N86" s="19">
        <v>4</v>
      </c>
      <c r="O86" s="19">
        <v>16</v>
      </c>
      <c r="P86" s="19">
        <v>8</v>
      </c>
      <c r="Q86" s="19">
        <f t="shared" si="20"/>
        <v>20</v>
      </c>
      <c r="R86" s="20">
        <f t="shared" si="21"/>
        <v>-8</v>
      </c>
      <c r="S86" s="21">
        <f t="shared" si="22"/>
        <v>188</v>
      </c>
      <c r="T86" s="21">
        <f t="shared" si="23"/>
        <v>35</v>
      </c>
      <c r="U86" s="21">
        <f>K86+P86</f>
        <v>34</v>
      </c>
      <c r="V86" s="21">
        <f t="shared" ref="V86:V117" si="25">U86-S86</f>
        <v>-154</v>
      </c>
      <c r="W86" s="11">
        <f>I86+J86+K86</f>
        <v>194</v>
      </c>
      <c r="X86" s="11">
        <f>N86+O86+P86</f>
        <v>28</v>
      </c>
      <c r="Y86" s="12">
        <f t="shared" ref="Y86:Y117" si="26">W86+X86</f>
        <v>222</v>
      </c>
      <c r="Z86" s="13">
        <f>I86+K86</f>
        <v>175</v>
      </c>
      <c r="AA86" s="13">
        <f>N86+P86</f>
        <v>12</v>
      </c>
      <c r="AB86" s="14">
        <f t="shared" ref="AB86:AB117" si="27">Z86+AA86</f>
        <v>187</v>
      </c>
      <c r="AC86" s="35">
        <f>W86/F86</f>
        <v>0.64666666666666661</v>
      </c>
      <c r="AD86" s="35">
        <f>X86/G86</f>
        <v>0.77777777777777779</v>
      </c>
      <c r="AE86" s="15">
        <f>Y86/H86</f>
        <v>0.6607142857142857</v>
      </c>
      <c r="AF86" s="36">
        <f>Z86/F86</f>
        <v>0.58333333333333337</v>
      </c>
      <c r="AG86" s="36">
        <f>AA86/G86</f>
        <v>0.33333333333333331</v>
      </c>
      <c r="AH86" s="15">
        <f>AB86/H86</f>
        <v>0.55654761904761907</v>
      </c>
    </row>
    <row r="87" spans="1:34" x14ac:dyDescent="0.35">
      <c r="A87" s="8">
        <v>84</v>
      </c>
      <c r="B87" s="1" t="s">
        <v>198</v>
      </c>
      <c r="C87" s="1" t="s">
        <v>199</v>
      </c>
      <c r="D87" s="1" t="s">
        <v>15</v>
      </c>
      <c r="E87" s="1" t="s">
        <v>51</v>
      </c>
      <c r="F87" s="9">
        <v>326</v>
      </c>
      <c r="G87" s="9">
        <v>67</v>
      </c>
      <c r="H87" s="10">
        <f t="shared" si="24"/>
        <v>393</v>
      </c>
      <c r="I87" s="17">
        <v>189</v>
      </c>
      <c r="J87" s="17">
        <v>80</v>
      </c>
      <c r="K87" s="17">
        <v>28</v>
      </c>
      <c r="L87" s="17">
        <f t="shared" si="18"/>
        <v>269</v>
      </c>
      <c r="M87" s="18">
        <f t="shared" si="19"/>
        <v>-52</v>
      </c>
      <c r="N87" s="19">
        <v>1</v>
      </c>
      <c r="O87" s="19">
        <v>29</v>
      </c>
      <c r="P87" s="19">
        <v>9</v>
      </c>
      <c r="Q87" s="19">
        <f t="shared" si="20"/>
        <v>30</v>
      </c>
      <c r="R87" s="20">
        <f t="shared" si="21"/>
        <v>-20</v>
      </c>
      <c r="S87" s="21">
        <f t="shared" si="22"/>
        <v>299</v>
      </c>
      <c r="T87" s="21">
        <f t="shared" si="23"/>
        <v>109</v>
      </c>
      <c r="U87" s="21">
        <f>K87+P87</f>
        <v>37</v>
      </c>
      <c r="V87" s="21">
        <f t="shared" si="25"/>
        <v>-262</v>
      </c>
      <c r="W87" s="11">
        <f>I87+J87+K87</f>
        <v>297</v>
      </c>
      <c r="X87" s="11">
        <f>N87+O87+P87</f>
        <v>39</v>
      </c>
      <c r="Y87" s="12">
        <f t="shared" si="26"/>
        <v>336</v>
      </c>
      <c r="Z87" s="13">
        <f>I87+K87</f>
        <v>217</v>
      </c>
      <c r="AA87" s="13">
        <f>N87+P87</f>
        <v>10</v>
      </c>
      <c r="AB87" s="14">
        <f t="shared" si="27"/>
        <v>227</v>
      </c>
      <c r="AC87" s="35">
        <f>W87/F87</f>
        <v>0.91104294478527603</v>
      </c>
      <c r="AD87" s="35">
        <f>X87/G87</f>
        <v>0.58208955223880599</v>
      </c>
      <c r="AE87" s="15">
        <f>Y87/H87</f>
        <v>0.85496183206106868</v>
      </c>
      <c r="AF87" s="36">
        <f>Z87/F87</f>
        <v>0.66564417177914115</v>
      </c>
      <c r="AG87" s="36">
        <f>AA87/G87</f>
        <v>0.14925373134328357</v>
      </c>
      <c r="AH87" s="15">
        <f>AB87/H87</f>
        <v>0.57760814249363868</v>
      </c>
    </row>
    <row r="88" spans="1:34" x14ac:dyDescent="0.35">
      <c r="A88" s="8">
        <v>85</v>
      </c>
      <c r="B88" s="1" t="s">
        <v>200</v>
      </c>
      <c r="C88" s="1" t="s">
        <v>201</v>
      </c>
      <c r="D88" s="1" t="s">
        <v>15</v>
      </c>
      <c r="E88" s="1" t="s">
        <v>93</v>
      </c>
      <c r="F88" s="9">
        <v>242</v>
      </c>
      <c r="G88" s="9">
        <v>19</v>
      </c>
      <c r="H88" s="10">
        <f t="shared" si="24"/>
        <v>261</v>
      </c>
      <c r="I88" s="17">
        <v>107</v>
      </c>
      <c r="J88" s="17">
        <v>47</v>
      </c>
      <c r="K88" s="17">
        <v>9</v>
      </c>
      <c r="L88" s="17">
        <f t="shared" si="18"/>
        <v>154</v>
      </c>
      <c r="M88" s="18">
        <f t="shared" si="19"/>
        <v>-38</v>
      </c>
      <c r="N88" s="19">
        <v>2</v>
      </c>
      <c r="O88" s="19">
        <v>10</v>
      </c>
      <c r="P88" s="19">
        <v>3</v>
      </c>
      <c r="Q88" s="19">
        <f t="shared" si="20"/>
        <v>12</v>
      </c>
      <c r="R88" s="20">
        <f t="shared" si="21"/>
        <v>-7</v>
      </c>
      <c r="S88" s="21">
        <f t="shared" si="22"/>
        <v>166</v>
      </c>
      <c r="T88" s="21">
        <f t="shared" si="23"/>
        <v>57</v>
      </c>
      <c r="U88" s="21">
        <f>K88+P88</f>
        <v>12</v>
      </c>
      <c r="V88" s="21">
        <f t="shared" si="25"/>
        <v>-154</v>
      </c>
      <c r="W88" s="11">
        <f>I88+J88+K88</f>
        <v>163</v>
      </c>
      <c r="X88" s="11">
        <f>N88+O88+P88</f>
        <v>15</v>
      </c>
      <c r="Y88" s="12">
        <f t="shared" si="26"/>
        <v>178</v>
      </c>
      <c r="Z88" s="13">
        <f>I88+K88</f>
        <v>116</v>
      </c>
      <c r="AA88" s="13">
        <f>N88+P88</f>
        <v>5</v>
      </c>
      <c r="AB88" s="14">
        <f t="shared" si="27"/>
        <v>121</v>
      </c>
      <c r="AC88" s="35">
        <f>W88/F88</f>
        <v>0.67355371900826444</v>
      </c>
      <c r="AD88" s="35">
        <f>X88/G88</f>
        <v>0.78947368421052633</v>
      </c>
      <c r="AE88" s="15">
        <f>Y88/H88</f>
        <v>0.68199233716475094</v>
      </c>
      <c r="AF88" s="36">
        <f>Z88/F88</f>
        <v>0.47933884297520662</v>
      </c>
      <c r="AG88" s="36">
        <f>AA88/G88</f>
        <v>0.26315789473684209</v>
      </c>
      <c r="AH88" s="15">
        <f>AB88/H88</f>
        <v>0.46360153256704983</v>
      </c>
    </row>
    <row r="89" spans="1:34" x14ac:dyDescent="0.35">
      <c r="A89" s="8">
        <v>86</v>
      </c>
      <c r="B89" s="1" t="s">
        <v>202</v>
      </c>
      <c r="C89" s="1" t="s">
        <v>203</v>
      </c>
      <c r="D89" s="1" t="s">
        <v>15</v>
      </c>
      <c r="E89" s="1" t="s">
        <v>68</v>
      </c>
      <c r="F89" s="9">
        <v>147</v>
      </c>
      <c r="G89" s="9">
        <v>195</v>
      </c>
      <c r="H89" s="10">
        <f t="shared" si="24"/>
        <v>342</v>
      </c>
      <c r="I89" s="17">
        <v>117</v>
      </c>
      <c r="J89" s="17">
        <v>19</v>
      </c>
      <c r="K89" s="17">
        <v>24</v>
      </c>
      <c r="L89" s="17">
        <f t="shared" si="18"/>
        <v>136</v>
      </c>
      <c r="M89" s="18">
        <f t="shared" si="19"/>
        <v>5</v>
      </c>
      <c r="N89" s="19">
        <v>18</v>
      </c>
      <c r="O89" s="19">
        <v>39</v>
      </c>
      <c r="P89" s="19">
        <v>26</v>
      </c>
      <c r="Q89" s="19">
        <f t="shared" si="20"/>
        <v>57</v>
      </c>
      <c r="R89" s="20">
        <f t="shared" si="21"/>
        <v>-13</v>
      </c>
      <c r="S89" s="21">
        <f t="shared" si="22"/>
        <v>193</v>
      </c>
      <c r="T89" s="21">
        <f t="shared" si="23"/>
        <v>58</v>
      </c>
      <c r="U89" s="21">
        <f>K89+P89</f>
        <v>50</v>
      </c>
      <c r="V89" s="21">
        <f t="shared" si="25"/>
        <v>-143</v>
      </c>
      <c r="W89" s="11">
        <f>I89+J89+K89</f>
        <v>160</v>
      </c>
      <c r="X89" s="11">
        <f>N89+O89+P89</f>
        <v>83</v>
      </c>
      <c r="Y89" s="12">
        <f t="shared" si="26"/>
        <v>243</v>
      </c>
      <c r="Z89" s="13">
        <f>I89+K89</f>
        <v>141</v>
      </c>
      <c r="AA89" s="13">
        <f>N89+P89</f>
        <v>44</v>
      </c>
      <c r="AB89" s="14">
        <f t="shared" si="27"/>
        <v>185</v>
      </c>
      <c r="AC89" s="35">
        <f>W89/F89</f>
        <v>1.08843537414966</v>
      </c>
      <c r="AD89" s="35">
        <f>X89/G89</f>
        <v>0.42564102564102563</v>
      </c>
      <c r="AE89" s="15">
        <f>Y89/H89</f>
        <v>0.71052631578947367</v>
      </c>
      <c r="AF89" s="36">
        <f>Z89/F89</f>
        <v>0.95918367346938771</v>
      </c>
      <c r="AG89" s="36">
        <f>AA89/G89</f>
        <v>0.22564102564102564</v>
      </c>
      <c r="AH89" s="15">
        <f>AB89/H89</f>
        <v>0.54093567251461994</v>
      </c>
    </row>
    <row r="90" spans="1:34" x14ac:dyDescent="0.35">
      <c r="A90" s="8">
        <v>87</v>
      </c>
      <c r="B90" s="1" t="s">
        <v>204</v>
      </c>
      <c r="C90" s="1" t="s">
        <v>205</v>
      </c>
      <c r="D90" s="1" t="s">
        <v>15</v>
      </c>
      <c r="E90" s="1" t="s">
        <v>26</v>
      </c>
      <c r="F90" s="9">
        <v>284</v>
      </c>
      <c r="G90" s="9">
        <v>17</v>
      </c>
      <c r="H90" s="10">
        <f t="shared" si="24"/>
        <v>301</v>
      </c>
      <c r="I90" s="17">
        <v>157</v>
      </c>
      <c r="J90" s="17">
        <v>22</v>
      </c>
      <c r="K90" s="17">
        <v>18</v>
      </c>
      <c r="L90" s="17">
        <f t="shared" si="18"/>
        <v>179</v>
      </c>
      <c r="M90" s="18">
        <f t="shared" si="19"/>
        <v>-4</v>
      </c>
      <c r="N90" s="19">
        <v>4</v>
      </c>
      <c r="O90" s="19">
        <v>2</v>
      </c>
      <c r="P90" s="19">
        <v>4</v>
      </c>
      <c r="Q90" s="19">
        <f t="shared" si="20"/>
        <v>6</v>
      </c>
      <c r="R90" s="20">
        <f t="shared" si="21"/>
        <v>2</v>
      </c>
      <c r="S90" s="21">
        <f t="shared" si="22"/>
        <v>185</v>
      </c>
      <c r="T90" s="21">
        <f t="shared" si="23"/>
        <v>24</v>
      </c>
      <c r="U90" s="21">
        <f>K90+P90</f>
        <v>22</v>
      </c>
      <c r="V90" s="21">
        <f t="shared" si="25"/>
        <v>-163</v>
      </c>
      <c r="W90" s="11">
        <f>I90+J90+K90</f>
        <v>197</v>
      </c>
      <c r="X90" s="11">
        <f>N90+O90+P90</f>
        <v>10</v>
      </c>
      <c r="Y90" s="12">
        <f t="shared" si="26"/>
        <v>207</v>
      </c>
      <c r="Z90" s="13">
        <f>I90+K90</f>
        <v>175</v>
      </c>
      <c r="AA90" s="13">
        <f>N90+P90</f>
        <v>8</v>
      </c>
      <c r="AB90" s="14">
        <f t="shared" si="27"/>
        <v>183</v>
      </c>
      <c r="AC90" s="35">
        <f>W90/F90</f>
        <v>0.69366197183098588</v>
      </c>
      <c r="AD90" s="35">
        <f>X90/G90</f>
        <v>0.58823529411764708</v>
      </c>
      <c r="AE90" s="15">
        <f>Y90/H90</f>
        <v>0.68770764119601324</v>
      </c>
      <c r="AF90" s="36">
        <f>Z90/F90</f>
        <v>0.61619718309859151</v>
      </c>
      <c r="AG90" s="36">
        <f>AA90/G90</f>
        <v>0.47058823529411764</v>
      </c>
      <c r="AH90" s="15">
        <f>AB90/H90</f>
        <v>0.60797342192691028</v>
      </c>
    </row>
    <row r="91" spans="1:34" x14ac:dyDescent="0.35">
      <c r="A91" s="8">
        <v>88</v>
      </c>
      <c r="B91" s="1" t="s">
        <v>206</v>
      </c>
      <c r="C91" s="1" t="s">
        <v>207</v>
      </c>
      <c r="D91" s="1" t="s">
        <v>15</v>
      </c>
      <c r="E91" s="1" t="s">
        <v>37</v>
      </c>
      <c r="F91" s="9">
        <v>363</v>
      </c>
      <c r="G91" s="9">
        <v>10</v>
      </c>
      <c r="H91" s="10">
        <f t="shared" si="24"/>
        <v>373</v>
      </c>
      <c r="I91" s="17">
        <v>156</v>
      </c>
      <c r="J91" s="17">
        <v>42</v>
      </c>
      <c r="K91" s="17">
        <v>24</v>
      </c>
      <c r="L91" s="17">
        <f t="shared" si="18"/>
        <v>198</v>
      </c>
      <c r="M91" s="18">
        <f t="shared" si="19"/>
        <v>-18</v>
      </c>
      <c r="N91" s="19">
        <v>1</v>
      </c>
      <c r="O91" s="19">
        <v>8</v>
      </c>
      <c r="P91" s="19">
        <v>5</v>
      </c>
      <c r="Q91" s="19">
        <f t="shared" si="20"/>
        <v>9</v>
      </c>
      <c r="R91" s="20">
        <f t="shared" si="21"/>
        <v>-3</v>
      </c>
      <c r="S91" s="21">
        <f t="shared" si="22"/>
        <v>207</v>
      </c>
      <c r="T91" s="21">
        <f t="shared" si="23"/>
        <v>50</v>
      </c>
      <c r="U91" s="21">
        <f>K91+P91</f>
        <v>29</v>
      </c>
      <c r="V91" s="21">
        <f t="shared" si="25"/>
        <v>-178</v>
      </c>
      <c r="W91" s="11">
        <f>I91+J91+K91</f>
        <v>222</v>
      </c>
      <c r="X91" s="11">
        <f>N91+O91+P91</f>
        <v>14</v>
      </c>
      <c r="Y91" s="12">
        <f t="shared" si="26"/>
        <v>236</v>
      </c>
      <c r="Z91" s="13">
        <f>I91+K91</f>
        <v>180</v>
      </c>
      <c r="AA91" s="13">
        <f>N91+P91</f>
        <v>6</v>
      </c>
      <c r="AB91" s="14">
        <f t="shared" si="27"/>
        <v>186</v>
      </c>
      <c r="AC91" s="35">
        <f>W91/F91</f>
        <v>0.61157024793388426</v>
      </c>
      <c r="AD91" s="35">
        <f>X91/G91</f>
        <v>1.4</v>
      </c>
      <c r="AE91" s="15">
        <f>Y91/H91</f>
        <v>0.63270777479892759</v>
      </c>
      <c r="AF91" s="36">
        <f>Z91/F91</f>
        <v>0.49586776859504134</v>
      </c>
      <c r="AG91" s="36">
        <f>AA91/G91</f>
        <v>0.6</v>
      </c>
      <c r="AH91" s="15">
        <f>AB91/H91</f>
        <v>0.49865951742627346</v>
      </c>
    </row>
    <row r="92" spans="1:34" x14ac:dyDescent="0.35">
      <c r="A92" s="8">
        <v>89</v>
      </c>
      <c r="B92" s="1" t="s">
        <v>208</v>
      </c>
      <c r="C92" s="1" t="s">
        <v>209</v>
      </c>
      <c r="D92" s="1" t="s">
        <v>15</v>
      </c>
      <c r="E92" s="1" t="s">
        <v>93</v>
      </c>
      <c r="F92" s="9">
        <v>344</v>
      </c>
      <c r="G92" s="9">
        <v>64</v>
      </c>
      <c r="H92" s="10">
        <f t="shared" si="24"/>
        <v>408</v>
      </c>
      <c r="I92" s="17">
        <v>149</v>
      </c>
      <c r="J92" s="17">
        <v>21</v>
      </c>
      <c r="K92" s="17">
        <v>18</v>
      </c>
      <c r="L92" s="17">
        <f t="shared" si="18"/>
        <v>170</v>
      </c>
      <c r="M92" s="18">
        <f t="shared" si="19"/>
        <v>-3</v>
      </c>
      <c r="N92" s="19">
        <v>4</v>
      </c>
      <c r="O92" s="19">
        <v>8</v>
      </c>
      <c r="P92" s="19">
        <v>4</v>
      </c>
      <c r="Q92" s="19">
        <f t="shared" si="20"/>
        <v>12</v>
      </c>
      <c r="R92" s="20">
        <f t="shared" si="21"/>
        <v>-4</v>
      </c>
      <c r="S92" s="21">
        <f t="shared" si="22"/>
        <v>182</v>
      </c>
      <c r="T92" s="21">
        <f t="shared" si="23"/>
        <v>29</v>
      </c>
      <c r="U92" s="21">
        <f>K92+P92</f>
        <v>22</v>
      </c>
      <c r="V92" s="21">
        <f t="shared" si="25"/>
        <v>-160</v>
      </c>
      <c r="W92" s="11">
        <f>I92+J92+K92</f>
        <v>188</v>
      </c>
      <c r="X92" s="11">
        <f>N92+O92+P92</f>
        <v>16</v>
      </c>
      <c r="Y92" s="12">
        <f t="shared" si="26"/>
        <v>204</v>
      </c>
      <c r="Z92" s="13">
        <f>I92+K92</f>
        <v>167</v>
      </c>
      <c r="AA92" s="13">
        <f>N92+P92</f>
        <v>8</v>
      </c>
      <c r="AB92" s="14">
        <f t="shared" si="27"/>
        <v>175</v>
      </c>
      <c r="AC92" s="35">
        <f>W92/F92</f>
        <v>0.54651162790697672</v>
      </c>
      <c r="AD92" s="35">
        <f>X92/G92</f>
        <v>0.25</v>
      </c>
      <c r="AE92" s="15">
        <f>Y92/H92</f>
        <v>0.5</v>
      </c>
      <c r="AF92" s="36">
        <f>Z92/F92</f>
        <v>0.48546511627906974</v>
      </c>
      <c r="AG92" s="36">
        <f>AA92/G92</f>
        <v>0.125</v>
      </c>
      <c r="AH92" s="15">
        <f>AB92/H92</f>
        <v>0.42892156862745096</v>
      </c>
    </row>
    <row r="93" spans="1:34" x14ac:dyDescent="0.35">
      <c r="A93" s="8">
        <v>90</v>
      </c>
      <c r="B93" s="1" t="s">
        <v>210</v>
      </c>
      <c r="C93" s="1" t="s">
        <v>211</v>
      </c>
      <c r="D93" s="1" t="s">
        <v>15</v>
      </c>
      <c r="E93" s="1" t="s">
        <v>37</v>
      </c>
      <c r="F93" s="9">
        <v>266</v>
      </c>
      <c r="G93" s="9">
        <v>31</v>
      </c>
      <c r="H93" s="10">
        <f t="shared" si="24"/>
        <v>297</v>
      </c>
      <c r="I93" s="17">
        <v>107</v>
      </c>
      <c r="J93" s="17">
        <v>11</v>
      </c>
      <c r="K93" s="17">
        <v>64</v>
      </c>
      <c r="L93" s="17">
        <f t="shared" si="18"/>
        <v>118</v>
      </c>
      <c r="M93" s="18">
        <f t="shared" si="19"/>
        <v>53</v>
      </c>
      <c r="N93" s="19">
        <v>9</v>
      </c>
      <c r="O93" s="19">
        <v>16</v>
      </c>
      <c r="P93" s="19">
        <v>20</v>
      </c>
      <c r="Q93" s="19">
        <f t="shared" si="20"/>
        <v>25</v>
      </c>
      <c r="R93" s="20">
        <f t="shared" si="21"/>
        <v>4</v>
      </c>
      <c r="S93" s="21">
        <f t="shared" si="22"/>
        <v>143</v>
      </c>
      <c r="T93" s="21">
        <f t="shared" si="23"/>
        <v>27</v>
      </c>
      <c r="U93" s="21">
        <f>K93+P93</f>
        <v>84</v>
      </c>
      <c r="V93" s="21">
        <f t="shared" si="25"/>
        <v>-59</v>
      </c>
      <c r="W93" s="11">
        <f>I93+J93+K93</f>
        <v>182</v>
      </c>
      <c r="X93" s="11">
        <f>N93+O93+P93</f>
        <v>45</v>
      </c>
      <c r="Y93" s="12">
        <f t="shared" si="26"/>
        <v>227</v>
      </c>
      <c r="Z93" s="13">
        <f>I93+K93</f>
        <v>171</v>
      </c>
      <c r="AA93" s="13">
        <f>N93+P93</f>
        <v>29</v>
      </c>
      <c r="AB93" s="14">
        <f t="shared" si="27"/>
        <v>200</v>
      </c>
      <c r="AC93" s="35">
        <f>W93/F93</f>
        <v>0.68421052631578949</v>
      </c>
      <c r="AD93" s="35">
        <f>X93/G93</f>
        <v>1.4516129032258065</v>
      </c>
      <c r="AE93" s="15">
        <f>Y93/H93</f>
        <v>0.76430976430976427</v>
      </c>
      <c r="AF93" s="36">
        <f>Z93/F93</f>
        <v>0.6428571428571429</v>
      </c>
      <c r="AG93" s="36">
        <f>AA93/G93</f>
        <v>0.93548387096774188</v>
      </c>
      <c r="AH93" s="15">
        <f>AB93/H93</f>
        <v>0.67340067340067344</v>
      </c>
    </row>
    <row r="94" spans="1:34" x14ac:dyDescent="0.35">
      <c r="A94" s="8">
        <v>91</v>
      </c>
      <c r="B94" s="1" t="s">
        <v>212</v>
      </c>
      <c r="C94" s="1" t="s">
        <v>213</v>
      </c>
      <c r="D94" s="1" t="s">
        <v>15</v>
      </c>
      <c r="E94" s="1" t="s">
        <v>16</v>
      </c>
      <c r="F94" s="9">
        <v>327</v>
      </c>
      <c r="G94" s="9">
        <v>57</v>
      </c>
      <c r="H94" s="10">
        <f t="shared" si="24"/>
        <v>384</v>
      </c>
      <c r="I94" s="17">
        <v>89</v>
      </c>
      <c r="J94" s="17">
        <v>76</v>
      </c>
      <c r="K94" s="17">
        <v>28</v>
      </c>
      <c r="L94" s="17">
        <f t="shared" si="18"/>
        <v>165</v>
      </c>
      <c r="M94" s="18">
        <f t="shared" si="19"/>
        <v>-48</v>
      </c>
      <c r="N94" s="19">
        <v>1</v>
      </c>
      <c r="O94" s="19">
        <v>8</v>
      </c>
      <c r="P94" s="19">
        <v>2</v>
      </c>
      <c r="Q94" s="19">
        <f t="shared" si="20"/>
        <v>9</v>
      </c>
      <c r="R94" s="20">
        <f t="shared" si="21"/>
        <v>-6</v>
      </c>
      <c r="S94" s="21">
        <f t="shared" si="22"/>
        <v>174</v>
      </c>
      <c r="T94" s="21">
        <f t="shared" si="23"/>
        <v>84</v>
      </c>
      <c r="U94" s="21">
        <f>K94+P94</f>
        <v>30</v>
      </c>
      <c r="V94" s="21">
        <f t="shared" si="25"/>
        <v>-144</v>
      </c>
      <c r="W94" s="11">
        <f>I94+J94+K94</f>
        <v>193</v>
      </c>
      <c r="X94" s="11">
        <f>N94+O94+P94</f>
        <v>11</v>
      </c>
      <c r="Y94" s="12">
        <f t="shared" si="26"/>
        <v>204</v>
      </c>
      <c r="Z94" s="13">
        <f>I94+K94</f>
        <v>117</v>
      </c>
      <c r="AA94" s="13">
        <f>N94+P94</f>
        <v>3</v>
      </c>
      <c r="AB94" s="14">
        <f t="shared" si="27"/>
        <v>120</v>
      </c>
      <c r="AC94" s="35">
        <f>W94/F94</f>
        <v>0.59021406727828751</v>
      </c>
      <c r="AD94" s="35">
        <f>X94/G94</f>
        <v>0.19298245614035087</v>
      </c>
      <c r="AE94" s="15">
        <f>Y94/H94</f>
        <v>0.53125</v>
      </c>
      <c r="AF94" s="36">
        <f>Z94/F94</f>
        <v>0.3577981651376147</v>
      </c>
      <c r="AG94" s="36">
        <f>AA94/G94</f>
        <v>5.2631578947368418E-2</v>
      </c>
      <c r="AH94" s="15">
        <f>AB94/H94</f>
        <v>0.3125</v>
      </c>
    </row>
    <row r="95" spans="1:34" x14ac:dyDescent="0.35">
      <c r="A95" s="8">
        <v>92</v>
      </c>
      <c r="B95" s="1" t="s">
        <v>214</v>
      </c>
      <c r="C95" s="1" t="s">
        <v>215</v>
      </c>
      <c r="D95" s="1" t="s">
        <v>15</v>
      </c>
      <c r="E95" s="1" t="s">
        <v>34</v>
      </c>
      <c r="F95" s="9">
        <v>330</v>
      </c>
      <c r="G95" s="9">
        <v>31</v>
      </c>
      <c r="H95" s="10">
        <f t="shared" si="24"/>
        <v>361</v>
      </c>
      <c r="I95" s="17">
        <v>160</v>
      </c>
      <c r="J95" s="17">
        <v>13</v>
      </c>
      <c r="K95" s="17">
        <v>20</v>
      </c>
      <c r="L95" s="17">
        <f t="shared" si="18"/>
        <v>173</v>
      </c>
      <c r="M95" s="18">
        <f t="shared" si="19"/>
        <v>7</v>
      </c>
      <c r="N95" s="19">
        <v>2</v>
      </c>
      <c r="O95" s="19">
        <v>4</v>
      </c>
      <c r="P95" s="19">
        <v>5</v>
      </c>
      <c r="Q95" s="19">
        <f t="shared" si="20"/>
        <v>6</v>
      </c>
      <c r="R95" s="20">
        <f t="shared" si="21"/>
        <v>1</v>
      </c>
      <c r="S95" s="21">
        <f t="shared" si="22"/>
        <v>179</v>
      </c>
      <c r="T95" s="21">
        <f t="shared" si="23"/>
        <v>17</v>
      </c>
      <c r="U95" s="21">
        <f>K95+P95</f>
        <v>25</v>
      </c>
      <c r="V95" s="21">
        <f t="shared" si="25"/>
        <v>-154</v>
      </c>
      <c r="W95" s="11">
        <f>I95+J95+K95</f>
        <v>193</v>
      </c>
      <c r="X95" s="11">
        <f>N95+O95+P95</f>
        <v>11</v>
      </c>
      <c r="Y95" s="12">
        <f t="shared" si="26"/>
        <v>204</v>
      </c>
      <c r="Z95" s="13">
        <f>I95+K95</f>
        <v>180</v>
      </c>
      <c r="AA95" s="13">
        <f>N95+P95</f>
        <v>7</v>
      </c>
      <c r="AB95" s="14">
        <f t="shared" si="27"/>
        <v>187</v>
      </c>
      <c r="AC95" s="35">
        <f>W95/F95</f>
        <v>0.58484848484848484</v>
      </c>
      <c r="AD95" s="35">
        <f>X95/G95</f>
        <v>0.35483870967741937</v>
      </c>
      <c r="AE95" s="15">
        <f>Y95/H95</f>
        <v>0.5650969529085873</v>
      </c>
      <c r="AF95" s="36">
        <f>Z95/F95</f>
        <v>0.54545454545454541</v>
      </c>
      <c r="AG95" s="36">
        <f>AA95/G95</f>
        <v>0.22580645161290322</v>
      </c>
      <c r="AH95" s="15">
        <f>AB95/H95</f>
        <v>0.51800554016620504</v>
      </c>
    </row>
    <row r="96" spans="1:34" x14ac:dyDescent="0.35">
      <c r="A96" s="8">
        <v>93</v>
      </c>
      <c r="B96" s="1" t="s">
        <v>216</v>
      </c>
      <c r="C96" s="1" t="s">
        <v>217</v>
      </c>
      <c r="D96" s="1" t="s">
        <v>15</v>
      </c>
      <c r="E96" s="1" t="s">
        <v>34</v>
      </c>
      <c r="F96" s="9">
        <v>330</v>
      </c>
      <c r="G96" s="9">
        <v>22</v>
      </c>
      <c r="H96" s="10">
        <f t="shared" si="24"/>
        <v>352</v>
      </c>
      <c r="I96" s="17">
        <v>99</v>
      </c>
      <c r="J96" s="17">
        <v>15</v>
      </c>
      <c r="K96" s="17">
        <v>25</v>
      </c>
      <c r="L96" s="17">
        <f t="shared" si="18"/>
        <v>114</v>
      </c>
      <c r="M96" s="18">
        <f t="shared" si="19"/>
        <v>10</v>
      </c>
      <c r="N96" s="19">
        <v>6</v>
      </c>
      <c r="O96" s="19">
        <v>2</v>
      </c>
      <c r="P96" s="19">
        <v>8</v>
      </c>
      <c r="Q96" s="19">
        <f t="shared" si="20"/>
        <v>8</v>
      </c>
      <c r="R96" s="20">
        <f t="shared" si="21"/>
        <v>6</v>
      </c>
      <c r="S96" s="21">
        <f t="shared" si="22"/>
        <v>122</v>
      </c>
      <c r="T96" s="21">
        <f t="shared" si="23"/>
        <v>17</v>
      </c>
      <c r="U96" s="21">
        <f>K96+P96</f>
        <v>33</v>
      </c>
      <c r="V96" s="21">
        <f t="shared" si="25"/>
        <v>-89</v>
      </c>
      <c r="W96" s="11">
        <f>I96+J96+K96</f>
        <v>139</v>
      </c>
      <c r="X96" s="11">
        <f>N96+O96+P96</f>
        <v>16</v>
      </c>
      <c r="Y96" s="12">
        <f t="shared" si="26"/>
        <v>155</v>
      </c>
      <c r="Z96" s="13">
        <f>I96+K96</f>
        <v>124</v>
      </c>
      <c r="AA96" s="13">
        <f>N96+P96</f>
        <v>14</v>
      </c>
      <c r="AB96" s="14">
        <f t="shared" si="27"/>
        <v>138</v>
      </c>
      <c r="AC96" s="35">
        <f>W96/F96</f>
        <v>0.4212121212121212</v>
      </c>
      <c r="AD96" s="35">
        <f>X96/G96</f>
        <v>0.72727272727272729</v>
      </c>
      <c r="AE96" s="15">
        <f>Y96/H96</f>
        <v>0.44034090909090912</v>
      </c>
      <c r="AF96" s="36">
        <f>Z96/F96</f>
        <v>0.37575757575757573</v>
      </c>
      <c r="AG96" s="36">
        <f>AA96/G96</f>
        <v>0.63636363636363635</v>
      </c>
      <c r="AH96" s="15">
        <f>AB96/H96</f>
        <v>0.39204545454545453</v>
      </c>
    </row>
    <row r="97" spans="1:34" x14ac:dyDescent="0.35">
      <c r="A97" s="8">
        <v>94</v>
      </c>
      <c r="B97" s="1" t="s">
        <v>218</v>
      </c>
      <c r="C97" s="1" t="s">
        <v>219</v>
      </c>
      <c r="D97" s="1" t="s">
        <v>15</v>
      </c>
      <c r="E97" s="1" t="s">
        <v>51</v>
      </c>
      <c r="F97" s="9">
        <v>334</v>
      </c>
      <c r="G97" s="9">
        <v>18</v>
      </c>
      <c r="H97" s="10">
        <f t="shared" si="24"/>
        <v>352</v>
      </c>
      <c r="I97" s="17">
        <v>135</v>
      </c>
      <c r="J97" s="17">
        <v>42</v>
      </c>
      <c r="K97" s="17">
        <v>22</v>
      </c>
      <c r="L97" s="17">
        <f t="shared" si="18"/>
        <v>177</v>
      </c>
      <c r="M97" s="18">
        <f t="shared" si="19"/>
        <v>-20</v>
      </c>
      <c r="N97" s="19">
        <v>4</v>
      </c>
      <c r="O97" s="19">
        <v>7</v>
      </c>
      <c r="P97" s="19">
        <v>6</v>
      </c>
      <c r="Q97" s="19">
        <f t="shared" si="20"/>
        <v>11</v>
      </c>
      <c r="R97" s="20">
        <f t="shared" si="21"/>
        <v>-1</v>
      </c>
      <c r="S97" s="21">
        <f t="shared" si="22"/>
        <v>188</v>
      </c>
      <c r="T97" s="21">
        <f t="shared" si="23"/>
        <v>49</v>
      </c>
      <c r="U97" s="21">
        <f>K97+P97</f>
        <v>28</v>
      </c>
      <c r="V97" s="21">
        <f t="shared" si="25"/>
        <v>-160</v>
      </c>
      <c r="W97" s="11">
        <f>I97+J97+K97</f>
        <v>199</v>
      </c>
      <c r="X97" s="11">
        <f>N97+O97+P97</f>
        <v>17</v>
      </c>
      <c r="Y97" s="12">
        <f t="shared" si="26"/>
        <v>216</v>
      </c>
      <c r="Z97" s="13">
        <f>I97+K97</f>
        <v>157</v>
      </c>
      <c r="AA97" s="13">
        <f>N97+P97</f>
        <v>10</v>
      </c>
      <c r="AB97" s="14">
        <f t="shared" si="27"/>
        <v>167</v>
      </c>
      <c r="AC97" s="35">
        <f>W97/F97</f>
        <v>0.59580838323353291</v>
      </c>
      <c r="AD97" s="35">
        <f>X97/G97</f>
        <v>0.94444444444444442</v>
      </c>
      <c r="AE97" s="15">
        <f>Y97/H97</f>
        <v>0.61363636363636365</v>
      </c>
      <c r="AF97" s="36">
        <f>Z97/F97</f>
        <v>0.47005988023952094</v>
      </c>
      <c r="AG97" s="36">
        <f>AA97/G97</f>
        <v>0.55555555555555558</v>
      </c>
      <c r="AH97" s="15">
        <f>AB97/H97</f>
        <v>0.47443181818181818</v>
      </c>
    </row>
    <row r="98" spans="1:34" x14ac:dyDescent="0.35">
      <c r="A98" s="8">
        <v>95</v>
      </c>
      <c r="B98" s="1" t="s">
        <v>220</v>
      </c>
      <c r="C98" s="1" t="s">
        <v>221</v>
      </c>
      <c r="D98" s="1" t="s">
        <v>61</v>
      </c>
      <c r="E98" s="1" t="s">
        <v>96</v>
      </c>
      <c r="F98" s="9">
        <v>1577</v>
      </c>
      <c r="G98" s="9">
        <v>169</v>
      </c>
      <c r="H98" s="10">
        <f t="shared" si="24"/>
        <v>1746</v>
      </c>
      <c r="I98" s="17">
        <v>677</v>
      </c>
      <c r="J98" s="17">
        <v>142</v>
      </c>
      <c r="K98" s="17">
        <v>130</v>
      </c>
      <c r="L98" s="17">
        <f t="shared" si="18"/>
        <v>819</v>
      </c>
      <c r="M98" s="18">
        <f t="shared" si="19"/>
        <v>-12</v>
      </c>
      <c r="N98" s="19">
        <v>9</v>
      </c>
      <c r="O98" s="19">
        <v>45</v>
      </c>
      <c r="P98" s="19">
        <v>22</v>
      </c>
      <c r="Q98" s="19">
        <f t="shared" si="20"/>
        <v>54</v>
      </c>
      <c r="R98" s="20">
        <f t="shared" si="21"/>
        <v>-23</v>
      </c>
      <c r="S98" s="21">
        <f t="shared" si="22"/>
        <v>873</v>
      </c>
      <c r="T98" s="21">
        <f t="shared" si="23"/>
        <v>187</v>
      </c>
      <c r="U98" s="21">
        <f>K98+P98</f>
        <v>152</v>
      </c>
      <c r="V98" s="21">
        <f t="shared" si="25"/>
        <v>-721</v>
      </c>
      <c r="W98" s="11">
        <f>I98+J98+K98</f>
        <v>949</v>
      </c>
      <c r="X98" s="11">
        <f>N98+O98+P98</f>
        <v>76</v>
      </c>
      <c r="Y98" s="12">
        <f t="shared" si="26"/>
        <v>1025</v>
      </c>
      <c r="Z98" s="13">
        <f>I98+K98</f>
        <v>807</v>
      </c>
      <c r="AA98" s="13">
        <f>N98+P98</f>
        <v>31</v>
      </c>
      <c r="AB98" s="14">
        <f t="shared" si="27"/>
        <v>838</v>
      </c>
      <c r="AC98" s="35">
        <f>W98/F98</f>
        <v>0.60177552314521243</v>
      </c>
      <c r="AD98" s="35">
        <f>X98/G98</f>
        <v>0.44970414201183434</v>
      </c>
      <c r="AE98" s="15">
        <f>Y98/H98</f>
        <v>0.58705612829324172</v>
      </c>
      <c r="AF98" s="36">
        <f>Z98/F98</f>
        <v>0.51173113506658208</v>
      </c>
      <c r="AG98" s="36">
        <f>AA98/G98</f>
        <v>0.18343195266272189</v>
      </c>
      <c r="AH98" s="15">
        <f>AB98/H98</f>
        <v>0.47995418098510884</v>
      </c>
    </row>
    <row r="99" spans="1:34" x14ac:dyDescent="0.35">
      <c r="A99" s="8">
        <v>96</v>
      </c>
      <c r="B99" s="1" t="s">
        <v>222</v>
      </c>
      <c r="C99" s="1" t="s">
        <v>223</v>
      </c>
      <c r="D99" s="1" t="s">
        <v>15</v>
      </c>
      <c r="E99" s="1" t="s">
        <v>88</v>
      </c>
      <c r="F99" s="9">
        <v>240</v>
      </c>
      <c r="G99" s="9">
        <v>65</v>
      </c>
      <c r="H99" s="10">
        <f t="shared" si="24"/>
        <v>305</v>
      </c>
      <c r="I99" s="17">
        <v>81</v>
      </c>
      <c r="J99" s="17">
        <v>26</v>
      </c>
      <c r="K99" s="17">
        <v>2</v>
      </c>
      <c r="L99" s="17">
        <f t="shared" si="18"/>
        <v>107</v>
      </c>
      <c r="M99" s="18">
        <f t="shared" si="19"/>
        <v>-24</v>
      </c>
      <c r="N99" s="19">
        <v>5</v>
      </c>
      <c r="O99" s="19">
        <v>17</v>
      </c>
      <c r="P99" s="19">
        <v>5</v>
      </c>
      <c r="Q99" s="19">
        <f t="shared" si="20"/>
        <v>22</v>
      </c>
      <c r="R99" s="20">
        <f t="shared" si="21"/>
        <v>-12</v>
      </c>
      <c r="S99" s="21">
        <f t="shared" si="22"/>
        <v>129</v>
      </c>
      <c r="T99" s="21">
        <f t="shared" si="23"/>
        <v>43</v>
      </c>
      <c r="U99" s="21">
        <f>K99+P99</f>
        <v>7</v>
      </c>
      <c r="V99" s="21">
        <f t="shared" si="25"/>
        <v>-122</v>
      </c>
      <c r="W99" s="11">
        <f>I99+J99+K99</f>
        <v>109</v>
      </c>
      <c r="X99" s="11">
        <f>N99+O99+P99</f>
        <v>27</v>
      </c>
      <c r="Y99" s="12">
        <f t="shared" si="26"/>
        <v>136</v>
      </c>
      <c r="Z99" s="13">
        <f>I99+K99</f>
        <v>83</v>
      </c>
      <c r="AA99" s="13">
        <f>N99+P99</f>
        <v>10</v>
      </c>
      <c r="AB99" s="14">
        <f t="shared" si="27"/>
        <v>93</v>
      </c>
      <c r="AC99" s="35">
        <f>W99/F99</f>
        <v>0.45416666666666666</v>
      </c>
      <c r="AD99" s="35">
        <f>X99/G99</f>
        <v>0.41538461538461541</v>
      </c>
      <c r="AE99" s="15">
        <f>Y99/H99</f>
        <v>0.4459016393442623</v>
      </c>
      <c r="AF99" s="36">
        <f>Z99/F99</f>
        <v>0.34583333333333333</v>
      </c>
      <c r="AG99" s="36">
        <f>AA99/G99</f>
        <v>0.15384615384615385</v>
      </c>
      <c r="AH99" s="15">
        <f>AB99/H99</f>
        <v>0.30491803278688523</v>
      </c>
    </row>
    <row r="100" spans="1:34" x14ac:dyDescent="0.35">
      <c r="A100" s="8">
        <v>97</v>
      </c>
      <c r="B100" s="1" t="s">
        <v>224</v>
      </c>
      <c r="C100" s="1" t="s">
        <v>225</v>
      </c>
      <c r="D100" s="1" t="s">
        <v>15</v>
      </c>
      <c r="E100" s="1" t="s">
        <v>48</v>
      </c>
      <c r="F100" s="9">
        <v>312</v>
      </c>
      <c r="G100" s="9">
        <v>75</v>
      </c>
      <c r="H100" s="10">
        <f t="shared" si="24"/>
        <v>387</v>
      </c>
      <c r="I100" s="17">
        <v>145</v>
      </c>
      <c r="J100" s="17">
        <v>33</v>
      </c>
      <c r="K100" s="17">
        <v>6</v>
      </c>
      <c r="L100" s="17">
        <f t="shared" si="18"/>
        <v>178</v>
      </c>
      <c r="M100" s="18">
        <f t="shared" si="19"/>
        <v>-27</v>
      </c>
      <c r="N100" s="19">
        <v>4</v>
      </c>
      <c r="O100" s="19">
        <v>11</v>
      </c>
      <c r="P100" s="19">
        <v>6</v>
      </c>
      <c r="Q100" s="19">
        <f t="shared" si="20"/>
        <v>15</v>
      </c>
      <c r="R100" s="20">
        <f t="shared" si="21"/>
        <v>-5</v>
      </c>
      <c r="S100" s="21">
        <f t="shared" si="22"/>
        <v>193</v>
      </c>
      <c r="T100" s="21">
        <f t="shared" si="23"/>
        <v>44</v>
      </c>
      <c r="U100" s="21">
        <f>K100+P100</f>
        <v>12</v>
      </c>
      <c r="V100" s="21">
        <f t="shared" si="25"/>
        <v>-181</v>
      </c>
      <c r="W100" s="11">
        <f>I100+J100+K100</f>
        <v>184</v>
      </c>
      <c r="X100" s="11">
        <f>N100+O100+P100</f>
        <v>21</v>
      </c>
      <c r="Y100" s="12">
        <f t="shared" si="26"/>
        <v>205</v>
      </c>
      <c r="Z100" s="13">
        <f>I100+K100</f>
        <v>151</v>
      </c>
      <c r="AA100" s="13">
        <f>N100+P100</f>
        <v>10</v>
      </c>
      <c r="AB100" s="14">
        <f t="shared" si="27"/>
        <v>161</v>
      </c>
      <c r="AC100" s="35">
        <f>W100/F100</f>
        <v>0.58974358974358976</v>
      </c>
      <c r="AD100" s="35">
        <f>X100/G100</f>
        <v>0.28000000000000003</v>
      </c>
      <c r="AE100" s="15">
        <f>Y100/H100</f>
        <v>0.52971576227390182</v>
      </c>
      <c r="AF100" s="36">
        <f>Z100/F100</f>
        <v>0.48397435897435898</v>
      </c>
      <c r="AG100" s="36">
        <f>AA100/G100</f>
        <v>0.13333333333333333</v>
      </c>
      <c r="AH100" s="15">
        <f>AB100/H100</f>
        <v>0.41602067183462532</v>
      </c>
    </row>
    <row r="101" spans="1:34" x14ac:dyDescent="0.35">
      <c r="A101" s="8">
        <v>98</v>
      </c>
      <c r="B101" s="1" t="s">
        <v>226</v>
      </c>
      <c r="C101" s="1" t="s">
        <v>227</v>
      </c>
      <c r="D101" s="1" t="s">
        <v>15</v>
      </c>
      <c r="E101" s="1" t="s">
        <v>37</v>
      </c>
      <c r="F101" s="9">
        <v>327</v>
      </c>
      <c r="G101" s="9">
        <v>39</v>
      </c>
      <c r="H101" s="10">
        <f t="shared" si="24"/>
        <v>366</v>
      </c>
      <c r="I101" s="17">
        <v>109</v>
      </c>
      <c r="J101" s="17">
        <v>31</v>
      </c>
      <c r="K101" s="17">
        <v>41</v>
      </c>
      <c r="L101" s="17">
        <f t="shared" si="18"/>
        <v>140</v>
      </c>
      <c r="M101" s="18">
        <f t="shared" si="19"/>
        <v>10</v>
      </c>
      <c r="N101" s="19">
        <v>9</v>
      </c>
      <c r="O101" s="19">
        <v>16</v>
      </c>
      <c r="P101" s="19">
        <v>21</v>
      </c>
      <c r="Q101" s="19">
        <f t="shared" si="20"/>
        <v>25</v>
      </c>
      <c r="R101" s="20">
        <f t="shared" si="21"/>
        <v>5</v>
      </c>
      <c r="S101" s="21">
        <f t="shared" si="22"/>
        <v>165</v>
      </c>
      <c r="T101" s="21">
        <f t="shared" si="23"/>
        <v>47</v>
      </c>
      <c r="U101" s="21">
        <f>K101+P101</f>
        <v>62</v>
      </c>
      <c r="V101" s="21">
        <f t="shared" si="25"/>
        <v>-103</v>
      </c>
      <c r="W101" s="11">
        <f>I101+J101+K101</f>
        <v>181</v>
      </c>
      <c r="X101" s="11">
        <f>N101+O101+P101</f>
        <v>46</v>
      </c>
      <c r="Y101" s="12">
        <f t="shared" si="26"/>
        <v>227</v>
      </c>
      <c r="Z101" s="13">
        <f>I101+K101</f>
        <v>150</v>
      </c>
      <c r="AA101" s="13">
        <f>N101+P101</f>
        <v>30</v>
      </c>
      <c r="AB101" s="14">
        <f t="shared" si="27"/>
        <v>180</v>
      </c>
      <c r="AC101" s="35">
        <f>W101/F101</f>
        <v>0.55351681957186549</v>
      </c>
      <c r="AD101" s="35">
        <f>X101/G101</f>
        <v>1.1794871794871795</v>
      </c>
      <c r="AE101" s="15">
        <f>Y101/H101</f>
        <v>0.6202185792349727</v>
      </c>
      <c r="AF101" s="36">
        <f>Z101/F101</f>
        <v>0.45871559633027525</v>
      </c>
      <c r="AG101" s="36">
        <f>AA101/G101</f>
        <v>0.76923076923076927</v>
      </c>
      <c r="AH101" s="15">
        <f>AB101/H101</f>
        <v>0.49180327868852458</v>
      </c>
    </row>
    <row r="102" spans="1:34" x14ac:dyDescent="0.35">
      <c r="A102" s="8">
        <v>99</v>
      </c>
      <c r="B102" s="1" t="s">
        <v>228</v>
      </c>
      <c r="C102" s="1" t="s">
        <v>229</v>
      </c>
      <c r="D102" s="1" t="s">
        <v>61</v>
      </c>
      <c r="E102" s="1" t="s">
        <v>230</v>
      </c>
      <c r="F102" s="9">
        <v>1658</v>
      </c>
      <c r="G102" s="9">
        <v>170</v>
      </c>
      <c r="H102" s="10">
        <f t="shared" si="24"/>
        <v>1828</v>
      </c>
      <c r="I102" s="17">
        <v>620</v>
      </c>
      <c r="J102" s="17">
        <v>197</v>
      </c>
      <c r="K102" s="17">
        <v>207</v>
      </c>
      <c r="L102" s="17">
        <f t="shared" si="18"/>
        <v>817</v>
      </c>
      <c r="M102" s="18">
        <f t="shared" si="19"/>
        <v>10</v>
      </c>
      <c r="N102" s="19">
        <v>8</v>
      </c>
      <c r="O102" s="19">
        <v>26</v>
      </c>
      <c r="P102" s="19">
        <v>35</v>
      </c>
      <c r="Q102" s="19">
        <f t="shared" si="20"/>
        <v>34</v>
      </c>
      <c r="R102" s="20">
        <f t="shared" si="21"/>
        <v>9</v>
      </c>
      <c r="S102" s="21">
        <f t="shared" si="22"/>
        <v>851</v>
      </c>
      <c r="T102" s="21">
        <f t="shared" si="23"/>
        <v>223</v>
      </c>
      <c r="U102" s="21">
        <f>K102+P102</f>
        <v>242</v>
      </c>
      <c r="V102" s="21">
        <f t="shared" si="25"/>
        <v>-609</v>
      </c>
      <c r="W102" s="11">
        <f>I102+J102+K102</f>
        <v>1024</v>
      </c>
      <c r="X102" s="11">
        <f>N102+O102+P102</f>
        <v>69</v>
      </c>
      <c r="Y102" s="12">
        <f t="shared" si="26"/>
        <v>1093</v>
      </c>
      <c r="Z102" s="13">
        <f>I102+K102</f>
        <v>827</v>
      </c>
      <c r="AA102" s="13">
        <f>N102+P102</f>
        <v>43</v>
      </c>
      <c r="AB102" s="14">
        <f t="shared" si="27"/>
        <v>870</v>
      </c>
      <c r="AC102" s="35">
        <f>W102/F102</f>
        <v>0.61761158021712903</v>
      </c>
      <c r="AD102" s="35">
        <f>X102/G102</f>
        <v>0.40588235294117647</v>
      </c>
      <c r="AE102" s="15">
        <f>Y102/H102</f>
        <v>0.59792122538293213</v>
      </c>
      <c r="AF102" s="36">
        <f>Z102/F102</f>
        <v>0.49879372738238842</v>
      </c>
      <c r="AG102" s="36">
        <f>AA102/G102</f>
        <v>0.25294117647058822</v>
      </c>
      <c r="AH102" s="15">
        <f>AB102/H102</f>
        <v>0.4759299781181619</v>
      </c>
    </row>
    <row r="103" spans="1:34" x14ac:dyDescent="0.35">
      <c r="A103" s="8">
        <v>100</v>
      </c>
      <c r="B103" s="1" t="s">
        <v>231</v>
      </c>
      <c r="C103" s="1" t="s">
        <v>232</v>
      </c>
      <c r="D103" s="1" t="s">
        <v>15</v>
      </c>
      <c r="E103" s="1" t="s">
        <v>37</v>
      </c>
      <c r="F103" s="9">
        <v>321</v>
      </c>
      <c r="G103" s="9">
        <v>33</v>
      </c>
      <c r="H103" s="10">
        <f t="shared" si="24"/>
        <v>354</v>
      </c>
      <c r="I103" s="17">
        <v>117</v>
      </c>
      <c r="J103" s="17">
        <v>24</v>
      </c>
      <c r="K103" s="17">
        <v>24</v>
      </c>
      <c r="L103" s="17">
        <f t="shared" si="18"/>
        <v>141</v>
      </c>
      <c r="M103" s="18">
        <f t="shared" si="19"/>
        <v>0</v>
      </c>
      <c r="N103" s="19">
        <v>6</v>
      </c>
      <c r="O103" s="19">
        <v>13</v>
      </c>
      <c r="P103" s="19">
        <v>13</v>
      </c>
      <c r="Q103" s="19">
        <f t="shared" si="20"/>
        <v>19</v>
      </c>
      <c r="R103" s="20">
        <f t="shared" si="21"/>
        <v>0</v>
      </c>
      <c r="S103" s="21">
        <f t="shared" si="22"/>
        <v>160</v>
      </c>
      <c r="T103" s="21">
        <f t="shared" si="23"/>
        <v>37</v>
      </c>
      <c r="U103" s="21">
        <f>K103+P103</f>
        <v>37</v>
      </c>
      <c r="V103" s="21">
        <f t="shared" si="25"/>
        <v>-123</v>
      </c>
      <c r="W103" s="11">
        <f>I103+J103+K103</f>
        <v>165</v>
      </c>
      <c r="X103" s="11">
        <f>N103+O103+P103</f>
        <v>32</v>
      </c>
      <c r="Y103" s="12">
        <f t="shared" si="26"/>
        <v>197</v>
      </c>
      <c r="Z103" s="13">
        <f>I103+K103</f>
        <v>141</v>
      </c>
      <c r="AA103" s="13">
        <f>N103+P103</f>
        <v>19</v>
      </c>
      <c r="AB103" s="14">
        <f t="shared" si="27"/>
        <v>160</v>
      </c>
      <c r="AC103" s="35">
        <f>W103/F103</f>
        <v>0.51401869158878499</v>
      </c>
      <c r="AD103" s="35">
        <f>X103/G103</f>
        <v>0.96969696969696972</v>
      </c>
      <c r="AE103" s="15">
        <f>Y103/H103</f>
        <v>0.55649717514124297</v>
      </c>
      <c r="AF103" s="36">
        <f>Z103/F103</f>
        <v>0.43925233644859812</v>
      </c>
      <c r="AG103" s="36">
        <f>AA103/G103</f>
        <v>0.5757575757575758</v>
      </c>
      <c r="AH103" s="15">
        <f>AB103/H103</f>
        <v>0.4519774011299435</v>
      </c>
    </row>
    <row r="104" spans="1:34" x14ac:dyDescent="0.35">
      <c r="A104" s="8">
        <v>101</v>
      </c>
      <c r="B104" s="1" t="s">
        <v>233</v>
      </c>
      <c r="C104" s="1" t="s">
        <v>234</v>
      </c>
      <c r="D104" s="1" t="s">
        <v>61</v>
      </c>
      <c r="E104" s="1" t="s">
        <v>37</v>
      </c>
      <c r="F104" s="9">
        <v>1910</v>
      </c>
      <c r="G104" s="9">
        <v>220</v>
      </c>
      <c r="H104" s="10">
        <f t="shared" si="24"/>
        <v>2130</v>
      </c>
      <c r="I104" s="17">
        <v>759</v>
      </c>
      <c r="J104" s="17">
        <v>166</v>
      </c>
      <c r="K104" s="17">
        <v>209</v>
      </c>
      <c r="L104" s="17">
        <f t="shared" si="18"/>
        <v>925</v>
      </c>
      <c r="M104" s="18">
        <f t="shared" si="19"/>
        <v>43</v>
      </c>
      <c r="N104" s="19">
        <v>24</v>
      </c>
      <c r="O104" s="19">
        <v>74</v>
      </c>
      <c r="P104" s="19">
        <v>65</v>
      </c>
      <c r="Q104" s="19">
        <f t="shared" si="20"/>
        <v>98</v>
      </c>
      <c r="R104" s="20">
        <f t="shared" si="21"/>
        <v>-9</v>
      </c>
      <c r="S104" s="21">
        <f t="shared" si="22"/>
        <v>1023</v>
      </c>
      <c r="T104" s="21">
        <f t="shared" si="23"/>
        <v>240</v>
      </c>
      <c r="U104" s="21">
        <f>K104+P104</f>
        <v>274</v>
      </c>
      <c r="V104" s="21">
        <f t="shared" si="25"/>
        <v>-749</v>
      </c>
      <c r="W104" s="11">
        <f>I104+J104+K104</f>
        <v>1134</v>
      </c>
      <c r="X104" s="11">
        <f>N104+O104+P104</f>
        <v>163</v>
      </c>
      <c r="Y104" s="12">
        <f t="shared" si="26"/>
        <v>1297</v>
      </c>
      <c r="Z104" s="13">
        <f>I104+K104</f>
        <v>968</v>
      </c>
      <c r="AA104" s="13">
        <f>N104+P104</f>
        <v>89</v>
      </c>
      <c r="AB104" s="14">
        <f t="shared" si="27"/>
        <v>1057</v>
      </c>
      <c r="AC104" s="35">
        <f>W104/F104</f>
        <v>0.59371727748691094</v>
      </c>
      <c r="AD104" s="35">
        <f>X104/G104</f>
        <v>0.74090909090909096</v>
      </c>
      <c r="AE104" s="15">
        <f>Y104/H104</f>
        <v>0.60892018779342727</v>
      </c>
      <c r="AF104" s="36">
        <f>Z104/F104</f>
        <v>0.50680628272251305</v>
      </c>
      <c r="AG104" s="36">
        <f>AA104/G104</f>
        <v>0.40454545454545454</v>
      </c>
      <c r="AH104" s="15">
        <f>AB104/H104</f>
        <v>0.49624413145539908</v>
      </c>
    </row>
    <row r="105" spans="1:34" x14ac:dyDescent="0.35">
      <c r="A105" s="8">
        <v>102</v>
      </c>
      <c r="B105" s="1" t="s">
        <v>235</v>
      </c>
      <c r="C105" s="1" t="s">
        <v>236</v>
      </c>
      <c r="D105" s="1" t="s">
        <v>15</v>
      </c>
      <c r="E105" s="1" t="s">
        <v>93</v>
      </c>
      <c r="F105" s="9">
        <v>402</v>
      </c>
      <c r="G105" s="9">
        <v>34</v>
      </c>
      <c r="H105" s="10">
        <f t="shared" si="24"/>
        <v>436</v>
      </c>
      <c r="I105" s="17">
        <v>135</v>
      </c>
      <c r="J105" s="17">
        <v>28</v>
      </c>
      <c r="K105" s="17">
        <v>30</v>
      </c>
      <c r="L105" s="17">
        <f t="shared" si="18"/>
        <v>163</v>
      </c>
      <c r="M105" s="18">
        <f t="shared" si="19"/>
        <v>2</v>
      </c>
      <c r="N105" s="19">
        <v>2</v>
      </c>
      <c r="O105" s="19">
        <v>4</v>
      </c>
      <c r="P105" s="19">
        <v>4</v>
      </c>
      <c r="Q105" s="19">
        <f t="shared" si="20"/>
        <v>6</v>
      </c>
      <c r="R105" s="20">
        <f t="shared" si="21"/>
        <v>0</v>
      </c>
      <c r="S105" s="21">
        <f t="shared" si="22"/>
        <v>169</v>
      </c>
      <c r="T105" s="21">
        <f t="shared" si="23"/>
        <v>32</v>
      </c>
      <c r="U105" s="21">
        <f>K105+P105</f>
        <v>34</v>
      </c>
      <c r="V105" s="21">
        <f t="shared" si="25"/>
        <v>-135</v>
      </c>
      <c r="W105" s="11">
        <f>I105+J105+K105</f>
        <v>193</v>
      </c>
      <c r="X105" s="11">
        <f>N105+O105+P105</f>
        <v>10</v>
      </c>
      <c r="Y105" s="12">
        <f t="shared" si="26"/>
        <v>203</v>
      </c>
      <c r="Z105" s="13">
        <f>I105+K105</f>
        <v>165</v>
      </c>
      <c r="AA105" s="13">
        <f>N105+P105</f>
        <v>6</v>
      </c>
      <c r="AB105" s="14">
        <f t="shared" si="27"/>
        <v>171</v>
      </c>
      <c r="AC105" s="35">
        <f>W105/F105</f>
        <v>0.48009950248756217</v>
      </c>
      <c r="AD105" s="35">
        <f>X105/G105</f>
        <v>0.29411764705882354</v>
      </c>
      <c r="AE105" s="15">
        <f>Y105/H105</f>
        <v>0.46559633027522934</v>
      </c>
      <c r="AF105" s="36">
        <f>Z105/F105</f>
        <v>0.41044776119402987</v>
      </c>
      <c r="AG105" s="36">
        <f>AA105/G105</f>
        <v>0.17647058823529413</v>
      </c>
      <c r="AH105" s="15">
        <f>AB105/H105</f>
        <v>0.3922018348623853</v>
      </c>
    </row>
    <row r="106" spans="1:34" x14ac:dyDescent="0.35">
      <c r="A106" s="8">
        <v>103</v>
      </c>
      <c r="B106" s="1" t="s">
        <v>237</v>
      </c>
      <c r="C106" s="1" t="s">
        <v>238</v>
      </c>
      <c r="D106" s="1" t="s">
        <v>15</v>
      </c>
      <c r="E106" s="1" t="s">
        <v>37</v>
      </c>
      <c r="F106" s="9">
        <v>299</v>
      </c>
      <c r="G106" s="9">
        <v>26</v>
      </c>
      <c r="H106" s="10">
        <f t="shared" si="24"/>
        <v>325</v>
      </c>
      <c r="I106" s="17">
        <v>140</v>
      </c>
      <c r="J106" s="17">
        <v>31</v>
      </c>
      <c r="K106" s="17">
        <v>16</v>
      </c>
      <c r="L106" s="17">
        <f t="shared" si="18"/>
        <v>171</v>
      </c>
      <c r="M106" s="18">
        <f t="shared" si="19"/>
        <v>-15</v>
      </c>
      <c r="N106" s="19">
        <v>0</v>
      </c>
      <c r="O106" s="19">
        <v>12</v>
      </c>
      <c r="P106" s="19">
        <v>3</v>
      </c>
      <c r="Q106" s="19">
        <f t="shared" si="20"/>
        <v>12</v>
      </c>
      <c r="R106" s="20">
        <f t="shared" si="21"/>
        <v>-9</v>
      </c>
      <c r="S106" s="21">
        <f t="shared" si="22"/>
        <v>183</v>
      </c>
      <c r="T106" s="21">
        <f t="shared" si="23"/>
        <v>43</v>
      </c>
      <c r="U106" s="21">
        <f>K106+P106</f>
        <v>19</v>
      </c>
      <c r="V106" s="21">
        <f t="shared" si="25"/>
        <v>-164</v>
      </c>
      <c r="W106" s="11">
        <f>I106+J106+K106</f>
        <v>187</v>
      </c>
      <c r="X106" s="11">
        <f>N106+O106+P106</f>
        <v>15</v>
      </c>
      <c r="Y106" s="12">
        <f t="shared" si="26"/>
        <v>202</v>
      </c>
      <c r="Z106" s="13">
        <f>I106+K106</f>
        <v>156</v>
      </c>
      <c r="AA106" s="13">
        <f>N106+P106</f>
        <v>3</v>
      </c>
      <c r="AB106" s="14">
        <f t="shared" si="27"/>
        <v>159</v>
      </c>
      <c r="AC106" s="35">
        <f>W106/F106</f>
        <v>0.62541806020066892</v>
      </c>
      <c r="AD106" s="35">
        <f>X106/G106</f>
        <v>0.57692307692307687</v>
      </c>
      <c r="AE106" s="15">
        <f>Y106/H106</f>
        <v>0.62153846153846148</v>
      </c>
      <c r="AF106" s="36">
        <f>Z106/F106</f>
        <v>0.52173913043478259</v>
      </c>
      <c r="AG106" s="36">
        <f>AA106/G106</f>
        <v>0.11538461538461539</v>
      </c>
      <c r="AH106" s="15">
        <f>AB106/H106</f>
        <v>0.48923076923076925</v>
      </c>
    </row>
    <row r="107" spans="1:34" x14ac:dyDescent="0.35">
      <c r="A107" s="8">
        <v>104</v>
      </c>
      <c r="B107" s="1" t="s">
        <v>239</v>
      </c>
      <c r="C107" s="1" t="s">
        <v>240</v>
      </c>
      <c r="D107" s="1" t="s">
        <v>15</v>
      </c>
      <c r="E107" s="1" t="s">
        <v>93</v>
      </c>
      <c r="F107" s="9">
        <v>399</v>
      </c>
      <c r="G107" s="9">
        <v>23</v>
      </c>
      <c r="H107" s="10">
        <f t="shared" si="24"/>
        <v>422</v>
      </c>
      <c r="I107" s="17">
        <v>137</v>
      </c>
      <c r="J107" s="17">
        <v>23</v>
      </c>
      <c r="K107" s="17">
        <v>40</v>
      </c>
      <c r="L107" s="17">
        <f t="shared" si="18"/>
        <v>160</v>
      </c>
      <c r="M107" s="18">
        <f t="shared" si="19"/>
        <v>17</v>
      </c>
      <c r="N107" s="19">
        <v>2</v>
      </c>
      <c r="O107" s="19">
        <v>5</v>
      </c>
      <c r="P107" s="19">
        <v>7</v>
      </c>
      <c r="Q107" s="19">
        <f t="shared" si="20"/>
        <v>7</v>
      </c>
      <c r="R107" s="20">
        <f t="shared" si="21"/>
        <v>2</v>
      </c>
      <c r="S107" s="21">
        <f t="shared" si="22"/>
        <v>167</v>
      </c>
      <c r="T107" s="21">
        <f t="shared" si="23"/>
        <v>28</v>
      </c>
      <c r="U107" s="21">
        <f>K107+P107</f>
        <v>47</v>
      </c>
      <c r="V107" s="21">
        <f t="shared" si="25"/>
        <v>-120</v>
      </c>
      <c r="W107" s="11">
        <f>I107+J107+K107</f>
        <v>200</v>
      </c>
      <c r="X107" s="11">
        <f>N107+O107+P107</f>
        <v>14</v>
      </c>
      <c r="Y107" s="12">
        <f t="shared" si="26"/>
        <v>214</v>
      </c>
      <c r="Z107" s="13">
        <f>I107+K107</f>
        <v>177</v>
      </c>
      <c r="AA107" s="13">
        <f>N107+P107</f>
        <v>9</v>
      </c>
      <c r="AB107" s="14">
        <f t="shared" si="27"/>
        <v>186</v>
      </c>
      <c r="AC107" s="35">
        <f>W107/F107</f>
        <v>0.50125313283208017</v>
      </c>
      <c r="AD107" s="35">
        <f>X107/G107</f>
        <v>0.60869565217391308</v>
      </c>
      <c r="AE107" s="15">
        <f>Y107/H107</f>
        <v>0.50710900473933651</v>
      </c>
      <c r="AF107" s="36">
        <f>Z107/F107</f>
        <v>0.44360902255639095</v>
      </c>
      <c r="AG107" s="36">
        <f>AA107/G107</f>
        <v>0.39130434782608697</v>
      </c>
      <c r="AH107" s="15">
        <f>AB107/H107</f>
        <v>0.44075829383886256</v>
      </c>
    </row>
    <row r="108" spans="1:34" x14ac:dyDescent="0.35">
      <c r="A108" s="8">
        <v>105</v>
      </c>
      <c r="B108" s="1" t="s">
        <v>241</v>
      </c>
      <c r="C108" s="1" t="s">
        <v>242</v>
      </c>
      <c r="D108" s="1" t="s">
        <v>61</v>
      </c>
      <c r="E108" s="1" t="s">
        <v>34</v>
      </c>
      <c r="F108" s="9">
        <v>1489</v>
      </c>
      <c r="G108" s="9">
        <v>278</v>
      </c>
      <c r="H108" s="10">
        <f t="shared" si="24"/>
        <v>1767</v>
      </c>
      <c r="I108" s="17">
        <v>509</v>
      </c>
      <c r="J108" s="17">
        <v>158</v>
      </c>
      <c r="K108" s="17">
        <v>105</v>
      </c>
      <c r="L108" s="17">
        <f t="shared" si="18"/>
        <v>667</v>
      </c>
      <c r="M108" s="18">
        <f t="shared" si="19"/>
        <v>-53</v>
      </c>
      <c r="N108" s="19">
        <v>24</v>
      </c>
      <c r="O108" s="19">
        <v>27</v>
      </c>
      <c r="P108" s="19">
        <v>34</v>
      </c>
      <c r="Q108" s="19">
        <f t="shared" si="20"/>
        <v>51</v>
      </c>
      <c r="R108" s="20">
        <f t="shared" si="21"/>
        <v>7</v>
      </c>
      <c r="S108" s="21">
        <f t="shared" si="22"/>
        <v>718</v>
      </c>
      <c r="T108" s="21">
        <f t="shared" si="23"/>
        <v>185</v>
      </c>
      <c r="U108" s="21">
        <f>K108+P108</f>
        <v>139</v>
      </c>
      <c r="V108" s="21">
        <f t="shared" si="25"/>
        <v>-579</v>
      </c>
      <c r="W108" s="11">
        <f>I108+J108+K108</f>
        <v>772</v>
      </c>
      <c r="X108" s="11">
        <f>N108+O108+P108</f>
        <v>85</v>
      </c>
      <c r="Y108" s="12">
        <f t="shared" si="26"/>
        <v>857</v>
      </c>
      <c r="Z108" s="13">
        <f>I108+K108</f>
        <v>614</v>
      </c>
      <c r="AA108" s="13">
        <f>N108+P108</f>
        <v>58</v>
      </c>
      <c r="AB108" s="14">
        <f t="shared" si="27"/>
        <v>672</v>
      </c>
      <c r="AC108" s="35">
        <f>W108/F108</f>
        <v>0.51846877098723976</v>
      </c>
      <c r="AD108" s="35">
        <f>X108/G108</f>
        <v>0.30575539568345322</v>
      </c>
      <c r="AE108" s="15">
        <f>Y108/H108</f>
        <v>0.48500282965478214</v>
      </c>
      <c r="AF108" s="36">
        <f>Z108/F108</f>
        <v>0.41235728676964406</v>
      </c>
      <c r="AG108" s="36">
        <f>AA108/G108</f>
        <v>0.20863309352517986</v>
      </c>
      <c r="AH108" s="15">
        <f>AB108/H108</f>
        <v>0.38030560271646857</v>
      </c>
    </row>
    <row r="109" spans="1:34" x14ac:dyDescent="0.35">
      <c r="A109" s="8">
        <v>106</v>
      </c>
      <c r="B109" s="1" t="s">
        <v>243</v>
      </c>
      <c r="C109" s="1" t="s">
        <v>244</v>
      </c>
      <c r="D109" s="1" t="s">
        <v>15</v>
      </c>
      <c r="E109" s="1" t="s">
        <v>34</v>
      </c>
      <c r="F109" s="9">
        <v>312</v>
      </c>
      <c r="G109" s="9">
        <v>32</v>
      </c>
      <c r="H109" s="10">
        <f t="shared" si="24"/>
        <v>344</v>
      </c>
      <c r="I109" s="17">
        <v>114</v>
      </c>
      <c r="J109" s="17">
        <v>7</v>
      </c>
      <c r="K109" s="17">
        <v>25</v>
      </c>
      <c r="L109" s="17">
        <f t="shared" si="18"/>
        <v>121</v>
      </c>
      <c r="M109" s="18">
        <f t="shared" si="19"/>
        <v>18</v>
      </c>
      <c r="N109" s="19">
        <v>6</v>
      </c>
      <c r="O109" s="19">
        <v>10</v>
      </c>
      <c r="P109" s="19">
        <v>8</v>
      </c>
      <c r="Q109" s="19">
        <f t="shared" si="20"/>
        <v>16</v>
      </c>
      <c r="R109" s="20">
        <f t="shared" si="21"/>
        <v>-2</v>
      </c>
      <c r="S109" s="21">
        <f t="shared" si="22"/>
        <v>137</v>
      </c>
      <c r="T109" s="21">
        <f t="shared" si="23"/>
        <v>17</v>
      </c>
      <c r="U109" s="21">
        <f>K109+P109</f>
        <v>33</v>
      </c>
      <c r="V109" s="21">
        <f t="shared" si="25"/>
        <v>-104</v>
      </c>
      <c r="W109" s="11">
        <f>I109+J109+K109</f>
        <v>146</v>
      </c>
      <c r="X109" s="11">
        <f>N109+O109+P109</f>
        <v>24</v>
      </c>
      <c r="Y109" s="12">
        <f t="shared" si="26"/>
        <v>170</v>
      </c>
      <c r="Z109" s="13">
        <f>I109+K109</f>
        <v>139</v>
      </c>
      <c r="AA109" s="13">
        <f>N109+P109</f>
        <v>14</v>
      </c>
      <c r="AB109" s="14">
        <f t="shared" si="27"/>
        <v>153</v>
      </c>
      <c r="AC109" s="35">
        <f>W109/F109</f>
        <v>0.46794871794871795</v>
      </c>
      <c r="AD109" s="35">
        <f>X109/G109</f>
        <v>0.75</v>
      </c>
      <c r="AE109" s="15">
        <f>Y109/H109</f>
        <v>0.4941860465116279</v>
      </c>
      <c r="AF109" s="36">
        <f>Z109/F109</f>
        <v>0.44551282051282054</v>
      </c>
      <c r="AG109" s="36">
        <f>AA109/G109</f>
        <v>0.4375</v>
      </c>
      <c r="AH109" s="15">
        <f>AB109/H109</f>
        <v>0.44476744186046513</v>
      </c>
    </row>
    <row r="110" spans="1:34" x14ac:dyDescent="0.35">
      <c r="A110" s="8">
        <v>107</v>
      </c>
      <c r="B110" s="1" t="s">
        <v>245</v>
      </c>
      <c r="C110" s="1" t="s">
        <v>246</v>
      </c>
      <c r="D110" s="1" t="s">
        <v>15</v>
      </c>
      <c r="E110" s="1" t="s">
        <v>51</v>
      </c>
      <c r="F110" s="9">
        <v>310</v>
      </c>
      <c r="G110" s="9">
        <v>52</v>
      </c>
      <c r="H110" s="10">
        <f t="shared" si="24"/>
        <v>362</v>
      </c>
      <c r="I110" s="17">
        <v>166</v>
      </c>
      <c r="J110" s="17">
        <v>38</v>
      </c>
      <c r="K110" s="17">
        <v>35</v>
      </c>
      <c r="L110" s="17">
        <f t="shared" si="18"/>
        <v>204</v>
      </c>
      <c r="M110" s="18">
        <f t="shared" si="19"/>
        <v>-3</v>
      </c>
      <c r="N110" s="19">
        <v>2</v>
      </c>
      <c r="O110" s="19">
        <v>21</v>
      </c>
      <c r="P110" s="19">
        <v>5</v>
      </c>
      <c r="Q110" s="19">
        <f t="shared" si="20"/>
        <v>23</v>
      </c>
      <c r="R110" s="20">
        <f t="shared" si="21"/>
        <v>-16</v>
      </c>
      <c r="S110" s="21">
        <f t="shared" si="22"/>
        <v>227</v>
      </c>
      <c r="T110" s="21">
        <f t="shared" si="23"/>
        <v>59</v>
      </c>
      <c r="U110" s="21">
        <f>K110+P110</f>
        <v>40</v>
      </c>
      <c r="V110" s="21">
        <f t="shared" si="25"/>
        <v>-187</v>
      </c>
      <c r="W110" s="11">
        <f>I110+J110+K110</f>
        <v>239</v>
      </c>
      <c r="X110" s="11">
        <f>N110+O110+P110</f>
        <v>28</v>
      </c>
      <c r="Y110" s="12">
        <f t="shared" si="26"/>
        <v>267</v>
      </c>
      <c r="Z110" s="13">
        <f>I110+K110</f>
        <v>201</v>
      </c>
      <c r="AA110" s="13">
        <f>N110+P110</f>
        <v>7</v>
      </c>
      <c r="AB110" s="14">
        <f t="shared" si="27"/>
        <v>208</v>
      </c>
      <c r="AC110" s="35">
        <f>W110/F110</f>
        <v>0.7709677419354839</v>
      </c>
      <c r="AD110" s="35">
        <f>X110/G110</f>
        <v>0.53846153846153844</v>
      </c>
      <c r="AE110" s="15">
        <f>Y110/H110</f>
        <v>0.73756906077348061</v>
      </c>
      <c r="AF110" s="36">
        <f>Z110/F110</f>
        <v>0.64838709677419359</v>
      </c>
      <c r="AG110" s="36">
        <f>AA110/G110</f>
        <v>0.13461538461538461</v>
      </c>
      <c r="AH110" s="15">
        <f>AB110/H110</f>
        <v>0.574585635359116</v>
      </c>
    </row>
    <row r="111" spans="1:34" x14ac:dyDescent="0.35">
      <c r="A111" s="8">
        <v>108</v>
      </c>
      <c r="B111" s="1" t="s">
        <v>247</v>
      </c>
      <c r="C111" s="1" t="s">
        <v>248</v>
      </c>
      <c r="D111" s="1" t="s">
        <v>15</v>
      </c>
      <c r="E111" s="1" t="s">
        <v>48</v>
      </c>
      <c r="F111" s="9">
        <v>395</v>
      </c>
      <c r="G111" s="9">
        <v>47</v>
      </c>
      <c r="H111" s="10">
        <f t="shared" si="24"/>
        <v>442</v>
      </c>
      <c r="I111" s="17">
        <v>152</v>
      </c>
      <c r="J111" s="17">
        <v>61</v>
      </c>
      <c r="K111" s="17">
        <v>20</v>
      </c>
      <c r="L111" s="17">
        <f t="shared" si="18"/>
        <v>213</v>
      </c>
      <c r="M111" s="18">
        <f t="shared" si="19"/>
        <v>-41</v>
      </c>
      <c r="N111" s="19">
        <v>4</v>
      </c>
      <c r="O111" s="19">
        <v>14</v>
      </c>
      <c r="P111" s="19">
        <v>16</v>
      </c>
      <c r="Q111" s="19">
        <f t="shared" si="20"/>
        <v>18</v>
      </c>
      <c r="R111" s="20">
        <f t="shared" si="21"/>
        <v>2</v>
      </c>
      <c r="S111" s="21">
        <f t="shared" si="22"/>
        <v>231</v>
      </c>
      <c r="T111" s="21">
        <f t="shared" si="23"/>
        <v>75</v>
      </c>
      <c r="U111" s="21">
        <f>K111+P111</f>
        <v>36</v>
      </c>
      <c r="V111" s="21">
        <f t="shared" si="25"/>
        <v>-195</v>
      </c>
      <c r="W111" s="11">
        <f>I111+J111+K111</f>
        <v>233</v>
      </c>
      <c r="X111" s="11">
        <f>N111+O111+P111</f>
        <v>34</v>
      </c>
      <c r="Y111" s="12">
        <f t="shared" si="26"/>
        <v>267</v>
      </c>
      <c r="Z111" s="13">
        <f>I111+K111</f>
        <v>172</v>
      </c>
      <c r="AA111" s="13">
        <f>N111+P111</f>
        <v>20</v>
      </c>
      <c r="AB111" s="14">
        <f t="shared" si="27"/>
        <v>192</v>
      </c>
      <c r="AC111" s="35">
        <f>W111/F111</f>
        <v>0.58987341772151902</v>
      </c>
      <c r="AD111" s="35">
        <f>X111/G111</f>
        <v>0.72340425531914898</v>
      </c>
      <c r="AE111" s="15">
        <f>Y111/H111</f>
        <v>0.60407239819004521</v>
      </c>
      <c r="AF111" s="36">
        <f>Z111/F111</f>
        <v>0.43544303797468353</v>
      </c>
      <c r="AG111" s="36">
        <f>AA111/G111</f>
        <v>0.42553191489361702</v>
      </c>
      <c r="AH111" s="15">
        <f>AB111/H111</f>
        <v>0.43438914027149322</v>
      </c>
    </row>
    <row r="112" spans="1:34" x14ac:dyDescent="0.35">
      <c r="A112" s="8">
        <v>109</v>
      </c>
      <c r="B112" s="1" t="s">
        <v>249</v>
      </c>
      <c r="C112" s="1" t="s">
        <v>250</v>
      </c>
      <c r="D112" s="1" t="s">
        <v>15</v>
      </c>
      <c r="E112" s="1" t="s">
        <v>101</v>
      </c>
      <c r="F112" s="9">
        <v>431</v>
      </c>
      <c r="G112" s="9">
        <v>28</v>
      </c>
      <c r="H112" s="10">
        <f t="shared" si="24"/>
        <v>459</v>
      </c>
      <c r="I112" s="17">
        <v>117</v>
      </c>
      <c r="J112" s="17">
        <v>36</v>
      </c>
      <c r="K112" s="17">
        <v>23</v>
      </c>
      <c r="L112" s="17">
        <f t="shared" si="18"/>
        <v>153</v>
      </c>
      <c r="M112" s="18">
        <f t="shared" si="19"/>
        <v>-13</v>
      </c>
      <c r="N112" s="19">
        <v>7</v>
      </c>
      <c r="O112" s="19">
        <v>8</v>
      </c>
      <c r="P112" s="19">
        <v>9</v>
      </c>
      <c r="Q112" s="19">
        <f t="shared" si="20"/>
        <v>15</v>
      </c>
      <c r="R112" s="20">
        <f t="shared" si="21"/>
        <v>1</v>
      </c>
      <c r="S112" s="21">
        <f t="shared" si="22"/>
        <v>168</v>
      </c>
      <c r="T112" s="21">
        <f t="shared" si="23"/>
        <v>44</v>
      </c>
      <c r="U112" s="21">
        <f>K112+P112</f>
        <v>32</v>
      </c>
      <c r="V112" s="21">
        <f t="shared" si="25"/>
        <v>-136</v>
      </c>
      <c r="W112" s="11">
        <f>I112+J112+K112</f>
        <v>176</v>
      </c>
      <c r="X112" s="11">
        <f>N112+O112+P112</f>
        <v>24</v>
      </c>
      <c r="Y112" s="12">
        <f t="shared" si="26"/>
        <v>200</v>
      </c>
      <c r="Z112" s="13">
        <f>I112+K112</f>
        <v>140</v>
      </c>
      <c r="AA112" s="13">
        <f>N112+P112</f>
        <v>16</v>
      </c>
      <c r="AB112" s="14">
        <f t="shared" si="27"/>
        <v>156</v>
      </c>
      <c r="AC112" s="35">
        <f>W112/F112</f>
        <v>0.40835266821345706</v>
      </c>
      <c r="AD112" s="35">
        <f>X112/G112</f>
        <v>0.8571428571428571</v>
      </c>
      <c r="AE112" s="15">
        <f>Y112/H112</f>
        <v>0.4357298474945534</v>
      </c>
      <c r="AF112" s="36">
        <f>Z112/F112</f>
        <v>0.3248259860788863</v>
      </c>
      <c r="AG112" s="36">
        <f>AA112/G112</f>
        <v>0.5714285714285714</v>
      </c>
      <c r="AH112" s="15">
        <f>AB112/H112</f>
        <v>0.33986928104575165</v>
      </c>
    </row>
    <row r="113" spans="1:34" x14ac:dyDescent="0.35">
      <c r="A113" s="8">
        <v>110</v>
      </c>
      <c r="B113" s="1" t="s">
        <v>251</v>
      </c>
      <c r="C113" s="1" t="s">
        <v>252</v>
      </c>
      <c r="D113" s="1" t="s">
        <v>15</v>
      </c>
      <c r="E113" s="1" t="s">
        <v>34</v>
      </c>
      <c r="F113" s="9">
        <v>194</v>
      </c>
      <c r="G113" s="9">
        <v>151</v>
      </c>
      <c r="H113" s="10">
        <f t="shared" si="24"/>
        <v>345</v>
      </c>
      <c r="I113" s="17">
        <v>107</v>
      </c>
      <c r="J113" s="17">
        <v>12</v>
      </c>
      <c r="K113" s="17">
        <v>21</v>
      </c>
      <c r="L113" s="17">
        <f t="shared" si="18"/>
        <v>119</v>
      </c>
      <c r="M113" s="18">
        <f t="shared" si="19"/>
        <v>9</v>
      </c>
      <c r="N113" s="19">
        <v>8</v>
      </c>
      <c r="O113" s="19">
        <v>8</v>
      </c>
      <c r="P113" s="19">
        <v>11</v>
      </c>
      <c r="Q113" s="19">
        <f t="shared" si="20"/>
        <v>16</v>
      </c>
      <c r="R113" s="20">
        <f t="shared" si="21"/>
        <v>3</v>
      </c>
      <c r="S113" s="21">
        <f t="shared" si="22"/>
        <v>135</v>
      </c>
      <c r="T113" s="21">
        <f t="shared" si="23"/>
        <v>20</v>
      </c>
      <c r="U113" s="21">
        <f>K113+P113</f>
        <v>32</v>
      </c>
      <c r="V113" s="21">
        <f t="shared" si="25"/>
        <v>-103</v>
      </c>
      <c r="W113" s="11">
        <f>I113+J113+K113</f>
        <v>140</v>
      </c>
      <c r="X113" s="11">
        <f>N113+O113+P113</f>
        <v>27</v>
      </c>
      <c r="Y113" s="12">
        <f t="shared" si="26"/>
        <v>167</v>
      </c>
      <c r="Z113" s="13">
        <f>I113+K113</f>
        <v>128</v>
      </c>
      <c r="AA113" s="13">
        <f>N113+P113</f>
        <v>19</v>
      </c>
      <c r="AB113" s="14">
        <f t="shared" si="27"/>
        <v>147</v>
      </c>
      <c r="AC113" s="35">
        <f>W113/F113</f>
        <v>0.72164948453608246</v>
      </c>
      <c r="AD113" s="35">
        <f>X113/G113</f>
        <v>0.17880794701986755</v>
      </c>
      <c r="AE113" s="15">
        <f>Y113/H113</f>
        <v>0.48405797101449277</v>
      </c>
      <c r="AF113" s="36">
        <f>Z113/F113</f>
        <v>0.65979381443298968</v>
      </c>
      <c r="AG113" s="36">
        <f>AA113/G113</f>
        <v>0.12582781456953643</v>
      </c>
      <c r="AH113" s="15">
        <f>AB113/H113</f>
        <v>0.42608695652173911</v>
      </c>
    </row>
    <row r="114" spans="1:34" x14ac:dyDescent="0.35">
      <c r="A114" s="8">
        <v>111</v>
      </c>
      <c r="B114" s="1" t="s">
        <v>253</v>
      </c>
      <c r="C114" s="1" t="s">
        <v>254</v>
      </c>
      <c r="D114" s="1" t="s">
        <v>15</v>
      </c>
      <c r="E114" s="1" t="s">
        <v>37</v>
      </c>
      <c r="F114" s="9">
        <v>256</v>
      </c>
      <c r="G114" s="9">
        <v>44</v>
      </c>
      <c r="H114" s="10">
        <f t="shared" si="24"/>
        <v>300</v>
      </c>
      <c r="I114" s="17">
        <v>131</v>
      </c>
      <c r="J114" s="17">
        <v>81</v>
      </c>
      <c r="K114" s="17">
        <v>36</v>
      </c>
      <c r="L114" s="17">
        <f t="shared" si="18"/>
        <v>212</v>
      </c>
      <c r="M114" s="18">
        <f t="shared" si="19"/>
        <v>-45</v>
      </c>
      <c r="N114" s="19">
        <v>1</v>
      </c>
      <c r="O114" s="19">
        <v>31</v>
      </c>
      <c r="P114" s="19">
        <v>6</v>
      </c>
      <c r="Q114" s="19">
        <f t="shared" si="20"/>
        <v>32</v>
      </c>
      <c r="R114" s="20">
        <f t="shared" si="21"/>
        <v>-25</v>
      </c>
      <c r="S114" s="21">
        <f t="shared" si="22"/>
        <v>244</v>
      </c>
      <c r="T114" s="21">
        <f t="shared" si="23"/>
        <v>112</v>
      </c>
      <c r="U114" s="21">
        <f>K114+P114</f>
        <v>42</v>
      </c>
      <c r="V114" s="21">
        <f t="shared" si="25"/>
        <v>-202</v>
      </c>
      <c r="W114" s="11">
        <f>I114+J114+K114</f>
        <v>248</v>
      </c>
      <c r="X114" s="11">
        <f>N114+O114+P114</f>
        <v>38</v>
      </c>
      <c r="Y114" s="12">
        <f t="shared" si="26"/>
        <v>286</v>
      </c>
      <c r="Z114" s="13">
        <f>I114+K114</f>
        <v>167</v>
      </c>
      <c r="AA114" s="13">
        <f>N114+P114</f>
        <v>7</v>
      </c>
      <c r="AB114" s="14">
        <f t="shared" si="27"/>
        <v>174</v>
      </c>
      <c r="AC114" s="35">
        <f>W114/F114</f>
        <v>0.96875</v>
      </c>
      <c r="AD114" s="35">
        <f>X114/G114</f>
        <v>0.86363636363636365</v>
      </c>
      <c r="AE114" s="15">
        <f>Y114/H114</f>
        <v>0.95333333333333337</v>
      </c>
      <c r="AF114" s="36">
        <f>Z114/F114</f>
        <v>0.65234375</v>
      </c>
      <c r="AG114" s="36">
        <f>AA114/G114</f>
        <v>0.15909090909090909</v>
      </c>
      <c r="AH114" s="15">
        <f>AB114/H114</f>
        <v>0.57999999999999996</v>
      </c>
    </row>
    <row r="115" spans="1:34" x14ac:dyDescent="0.35">
      <c r="A115" s="8">
        <v>112</v>
      </c>
      <c r="B115" s="1" t="s">
        <v>255</v>
      </c>
      <c r="C115" s="1" t="s">
        <v>256</v>
      </c>
      <c r="D115" s="1" t="s">
        <v>15</v>
      </c>
      <c r="E115" s="1" t="s">
        <v>101</v>
      </c>
      <c r="F115" s="9">
        <v>396</v>
      </c>
      <c r="G115" s="9">
        <v>22</v>
      </c>
      <c r="H115" s="10">
        <f t="shared" si="24"/>
        <v>418</v>
      </c>
      <c r="I115" s="17">
        <v>164</v>
      </c>
      <c r="J115" s="17">
        <v>27</v>
      </c>
      <c r="K115" s="17">
        <v>13</v>
      </c>
      <c r="L115" s="17">
        <f t="shared" si="18"/>
        <v>191</v>
      </c>
      <c r="M115" s="18">
        <f t="shared" si="19"/>
        <v>-14</v>
      </c>
      <c r="N115" s="19">
        <v>2</v>
      </c>
      <c r="O115" s="19">
        <v>4</v>
      </c>
      <c r="P115" s="19">
        <v>2</v>
      </c>
      <c r="Q115" s="19">
        <f t="shared" si="20"/>
        <v>6</v>
      </c>
      <c r="R115" s="20">
        <f t="shared" si="21"/>
        <v>-2</v>
      </c>
      <c r="S115" s="21">
        <f t="shared" si="22"/>
        <v>197</v>
      </c>
      <c r="T115" s="21">
        <f t="shared" si="23"/>
        <v>31</v>
      </c>
      <c r="U115" s="21">
        <f>K115+P115</f>
        <v>15</v>
      </c>
      <c r="V115" s="21">
        <f t="shared" si="25"/>
        <v>-182</v>
      </c>
      <c r="W115" s="11">
        <f>I115+J115+K115</f>
        <v>204</v>
      </c>
      <c r="X115" s="11">
        <f>N115+O115+P115</f>
        <v>8</v>
      </c>
      <c r="Y115" s="12">
        <f t="shared" si="26"/>
        <v>212</v>
      </c>
      <c r="Z115" s="13">
        <f>I115+K115</f>
        <v>177</v>
      </c>
      <c r="AA115" s="13">
        <f>N115+P115</f>
        <v>4</v>
      </c>
      <c r="AB115" s="14">
        <f t="shared" si="27"/>
        <v>181</v>
      </c>
      <c r="AC115" s="35">
        <f>W115/F115</f>
        <v>0.51515151515151514</v>
      </c>
      <c r="AD115" s="35">
        <f>X115/G115</f>
        <v>0.36363636363636365</v>
      </c>
      <c r="AE115" s="15">
        <f>Y115/H115</f>
        <v>0.50717703349282295</v>
      </c>
      <c r="AF115" s="36">
        <f>Z115/F115</f>
        <v>0.44696969696969696</v>
      </c>
      <c r="AG115" s="36">
        <f>AA115/G115</f>
        <v>0.18181818181818182</v>
      </c>
      <c r="AH115" s="15">
        <f>AB115/H115</f>
        <v>0.43301435406698563</v>
      </c>
    </row>
    <row r="116" spans="1:34" x14ac:dyDescent="0.35">
      <c r="A116" s="8">
        <v>113</v>
      </c>
      <c r="B116" s="1" t="s">
        <v>257</v>
      </c>
      <c r="C116" s="1" t="s">
        <v>258</v>
      </c>
      <c r="D116" s="1" t="s">
        <v>15</v>
      </c>
      <c r="E116" s="1" t="s">
        <v>48</v>
      </c>
      <c r="F116" s="9">
        <v>367</v>
      </c>
      <c r="G116" s="9">
        <v>43</v>
      </c>
      <c r="H116" s="10">
        <f t="shared" si="24"/>
        <v>410</v>
      </c>
      <c r="I116" s="17">
        <v>175</v>
      </c>
      <c r="J116" s="17">
        <v>50</v>
      </c>
      <c r="K116" s="17">
        <v>43</v>
      </c>
      <c r="L116" s="17">
        <f t="shared" si="18"/>
        <v>225</v>
      </c>
      <c r="M116" s="18">
        <f t="shared" si="19"/>
        <v>-7</v>
      </c>
      <c r="N116" s="19">
        <v>1</v>
      </c>
      <c r="O116" s="19">
        <v>8</v>
      </c>
      <c r="P116" s="19">
        <v>6</v>
      </c>
      <c r="Q116" s="19">
        <f t="shared" si="20"/>
        <v>9</v>
      </c>
      <c r="R116" s="20">
        <f t="shared" si="21"/>
        <v>-2</v>
      </c>
      <c r="S116" s="21">
        <f t="shared" si="22"/>
        <v>234</v>
      </c>
      <c r="T116" s="21">
        <f t="shared" si="23"/>
        <v>58</v>
      </c>
      <c r="U116" s="21">
        <f>K116+P116</f>
        <v>49</v>
      </c>
      <c r="V116" s="21">
        <f t="shared" si="25"/>
        <v>-185</v>
      </c>
      <c r="W116" s="11">
        <f>I116+J116+K116</f>
        <v>268</v>
      </c>
      <c r="X116" s="11">
        <f>N116+O116+P116</f>
        <v>15</v>
      </c>
      <c r="Y116" s="12">
        <f t="shared" si="26"/>
        <v>283</v>
      </c>
      <c r="Z116" s="13">
        <f>I116+K116</f>
        <v>218</v>
      </c>
      <c r="AA116" s="13">
        <f>N116+P116</f>
        <v>7</v>
      </c>
      <c r="AB116" s="14">
        <f t="shared" si="27"/>
        <v>225</v>
      </c>
      <c r="AC116" s="35">
        <f>W116/F116</f>
        <v>0.73024523160762944</v>
      </c>
      <c r="AD116" s="35">
        <f>X116/G116</f>
        <v>0.34883720930232559</v>
      </c>
      <c r="AE116" s="15">
        <f>Y116/H116</f>
        <v>0.69024390243902434</v>
      </c>
      <c r="AF116" s="36">
        <f>Z116/F116</f>
        <v>0.59400544959128065</v>
      </c>
      <c r="AG116" s="36">
        <f>AA116/G116</f>
        <v>0.16279069767441862</v>
      </c>
      <c r="AH116" s="15">
        <f>AB116/H116</f>
        <v>0.54878048780487809</v>
      </c>
    </row>
    <row r="117" spans="1:34" x14ac:dyDescent="0.35">
      <c r="A117" s="8">
        <v>114</v>
      </c>
      <c r="B117" s="1" t="s">
        <v>259</v>
      </c>
      <c r="C117" s="1" t="s">
        <v>260</v>
      </c>
      <c r="D117" s="1" t="s">
        <v>15</v>
      </c>
      <c r="E117" s="1" t="s">
        <v>51</v>
      </c>
      <c r="F117" s="9">
        <v>328</v>
      </c>
      <c r="G117" s="9">
        <v>34</v>
      </c>
      <c r="H117" s="10">
        <f t="shared" si="24"/>
        <v>362</v>
      </c>
      <c r="I117" s="17">
        <v>124</v>
      </c>
      <c r="J117" s="17">
        <v>48</v>
      </c>
      <c r="K117" s="17">
        <v>46</v>
      </c>
      <c r="L117" s="17">
        <f t="shared" si="18"/>
        <v>172</v>
      </c>
      <c r="M117" s="18">
        <f t="shared" si="19"/>
        <v>-2</v>
      </c>
      <c r="N117" s="19">
        <v>7</v>
      </c>
      <c r="O117" s="19">
        <v>5</v>
      </c>
      <c r="P117" s="19">
        <v>13</v>
      </c>
      <c r="Q117" s="19">
        <f t="shared" si="20"/>
        <v>12</v>
      </c>
      <c r="R117" s="20">
        <f t="shared" si="21"/>
        <v>8</v>
      </c>
      <c r="S117" s="21">
        <f t="shared" si="22"/>
        <v>184</v>
      </c>
      <c r="T117" s="21">
        <f t="shared" si="23"/>
        <v>53</v>
      </c>
      <c r="U117" s="21">
        <f>K117+P117</f>
        <v>59</v>
      </c>
      <c r="V117" s="21">
        <f t="shared" si="25"/>
        <v>-125</v>
      </c>
      <c r="W117" s="11">
        <f>I117+J117+K117</f>
        <v>218</v>
      </c>
      <c r="X117" s="11">
        <f>N117+O117+P117</f>
        <v>25</v>
      </c>
      <c r="Y117" s="12">
        <f t="shared" si="26"/>
        <v>243</v>
      </c>
      <c r="Z117" s="13">
        <f>I117+K117</f>
        <v>170</v>
      </c>
      <c r="AA117" s="13">
        <f>N117+P117</f>
        <v>20</v>
      </c>
      <c r="AB117" s="14">
        <f t="shared" si="27"/>
        <v>190</v>
      </c>
      <c r="AC117" s="35">
        <f>W117/F117</f>
        <v>0.66463414634146345</v>
      </c>
      <c r="AD117" s="35">
        <f>X117/G117</f>
        <v>0.73529411764705888</v>
      </c>
      <c r="AE117" s="15">
        <f>Y117/H117</f>
        <v>0.67127071823204421</v>
      </c>
      <c r="AF117" s="36">
        <f>Z117/F117</f>
        <v>0.51829268292682928</v>
      </c>
      <c r="AG117" s="36">
        <f>AA117/G117</f>
        <v>0.58823529411764708</v>
      </c>
      <c r="AH117" s="15">
        <f>AB117/H117</f>
        <v>0.52486187845303867</v>
      </c>
    </row>
    <row r="118" spans="1:34" x14ac:dyDescent="0.35">
      <c r="A118" s="8">
        <v>115</v>
      </c>
      <c r="B118" s="1" t="s">
        <v>261</v>
      </c>
      <c r="C118" s="1" t="s">
        <v>262</v>
      </c>
      <c r="D118" s="1" t="s">
        <v>15</v>
      </c>
      <c r="E118" s="1" t="s">
        <v>37</v>
      </c>
      <c r="F118" s="9">
        <v>317</v>
      </c>
      <c r="G118" s="9">
        <v>14</v>
      </c>
      <c r="H118" s="10">
        <f t="shared" ref="H118:H149" si="28">F118+G118</f>
        <v>331</v>
      </c>
      <c r="I118" s="17">
        <v>140</v>
      </c>
      <c r="J118" s="17">
        <v>35</v>
      </c>
      <c r="K118" s="17">
        <v>26</v>
      </c>
      <c r="L118" s="17">
        <f t="shared" si="18"/>
        <v>175</v>
      </c>
      <c r="M118" s="18">
        <f t="shared" si="19"/>
        <v>-9</v>
      </c>
      <c r="N118" s="19">
        <v>2</v>
      </c>
      <c r="O118" s="19">
        <v>4</v>
      </c>
      <c r="P118" s="19">
        <v>9</v>
      </c>
      <c r="Q118" s="19">
        <f t="shared" si="20"/>
        <v>6</v>
      </c>
      <c r="R118" s="20">
        <f t="shared" si="21"/>
        <v>5</v>
      </c>
      <c r="S118" s="21">
        <f t="shared" si="22"/>
        <v>181</v>
      </c>
      <c r="T118" s="21">
        <f t="shared" si="23"/>
        <v>39</v>
      </c>
      <c r="U118" s="21">
        <f>K118+P118</f>
        <v>35</v>
      </c>
      <c r="V118" s="21">
        <f t="shared" ref="V118:V149" si="29">U118-S118</f>
        <v>-146</v>
      </c>
      <c r="W118" s="11">
        <f>I118+J118+K118</f>
        <v>201</v>
      </c>
      <c r="X118" s="11">
        <f>N118+O118+P118</f>
        <v>15</v>
      </c>
      <c r="Y118" s="12">
        <f t="shared" ref="Y118:Y149" si="30">W118+X118</f>
        <v>216</v>
      </c>
      <c r="Z118" s="13">
        <f>I118+K118</f>
        <v>166</v>
      </c>
      <c r="AA118" s="13">
        <f>N118+P118</f>
        <v>11</v>
      </c>
      <c r="AB118" s="14">
        <f t="shared" ref="AB118:AB149" si="31">Z118+AA118</f>
        <v>177</v>
      </c>
      <c r="AC118" s="35">
        <f>W118/F118</f>
        <v>0.63406940063091488</v>
      </c>
      <c r="AD118" s="35">
        <f>X118/G118</f>
        <v>1.0714285714285714</v>
      </c>
      <c r="AE118" s="15">
        <f>Y118/H118</f>
        <v>0.65256797583081572</v>
      </c>
      <c r="AF118" s="36">
        <f>Z118/F118</f>
        <v>0.52365930599369082</v>
      </c>
      <c r="AG118" s="36">
        <f>AA118/G118</f>
        <v>0.7857142857142857</v>
      </c>
      <c r="AH118" s="15">
        <f>AB118/H118</f>
        <v>0.53474320241691842</v>
      </c>
    </row>
    <row r="119" spans="1:34" x14ac:dyDescent="0.35">
      <c r="A119" s="8">
        <v>116</v>
      </c>
      <c r="B119" s="1" t="s">
        <v>263</v>
      </c>
      <c r="C119" s="1" t="s">
        <v>264</v>
      </c>
      <c r="D119" s="1" t="s">
        <v>15</v>
      </c>
      <c r="E119" s="1" t="s">
        <v>37</v>
      </c>
      <c r="F119" s="9">
        <v>371</v>
      </c>
      <c r="G119" s="9">
        <v>20</v>
      </c>
      <c r="H119" s="10">
        <f t="shared" si="28"/>
        <v>391</v>
      </c>
      <c r="I119" s="17">
        <v>197</v>
      </c>
      <c r="J119" s="17">
        <v>48</v>
      </c>
      <c r="K119" s="17">
        <v>33</v>
      </c>
      <c r="L119" s="17">
        <f t="shared" si="18"/>
        <v>245</v>
      </c>
      <c r="M119" s="18">
        <f t="shared" si="19"/>
        <v>-15</v>
      </c>
      <c r="N119" s="19">
        <v>1</v>
      </c>
      <c r="O119" s="19">
        <v>10</v>
      </c>
      <c r="P119" s="19">
        <v>4</v>
      </c>
      <c r="Q119" s="19">
        <f t="shared" si="20"/>
        <v>11</v>
      </c>
      <c r="R119" s="20">
        <f t="shared" si="21"/>
        <v>-6</v>
      </c>
      <c r="S119" s="21">
        <f t="shared" si="22"/>
        <v>256</v>
      </c>
      <c r="T119" s="21">
        <f t="shared" si="23"/>
        <v>58</v>
      </c>
      <c r="U119" s="21">
        <f>K119+P119</f>
        <v>37</v>
      </c>
      <c r="V119" s="21">
        <f t="shared" si="29"/>
        <v>-219</v>
      </c>
      <c r="W119" s="11">
        <f>I119+J119+K119</f>
        <v>278</v>
      </c>
      <c r="X119" s="11">
        <f>N119+O119+P119</f>
        <v>15</v>
      </c>
      <c r="Y119" s="12">
        <f t="shared" si="30"/>
        <v>293</v>
      </c>
      <c r="Z119" s="13">
        <f>I119+K119</f>
        <v>230</v>
      </c>
      <c r="AA119" s="13">
        <f>N119+P119</f>
        <v>5</v>
      </c>
      <c r="AB119" s="14">
        <f t="shared" si="31"/>
        <v>235</v>
      </c>
      <c r="AC119" s="35">
        <f>W119/F119</f>
        <v>0.74932614555256061</v>
      </c>
      <c r="AD119" s="35">
        <f>X119/G119</f>
        <v>0.75</v>
      </c>
      <c r="AE119" s="15">
        <f>Y119/H119</f>
        <v>0.7493606138107417</v>
      </c>
      <c r="AF119" s="36">
        <f>Z119/F119</f>
        <v>0.61994609164420489</v>
      </c>
      <c r="AG119" s="36">
        <f>AA119/G119</f>
        <v>0.25</v>
      </c>
      <c r="AH119" s="15">
        <f>AB119/H119</f>
        <v>0.60102301790281332</v>
      </c>
    </row>
    <row r="120" spans="1:34" x14ac:dyDescent="0.35">
      <c r="A120" s="8">
        <v>117</v>
      </c>
      <c r="B120" s="1" t="s">
        <v>265</v>
      </c>
      <c r="C120" s="1" t="s">
        <v>266</v>
      </c>
      <c r="D120" s="1" t="s">
        <v>15</v>
      </c>
      <c r="E120" s="1" t="s">
        <v>21</v>
      </c>
      <c r="F120" s="9">
        <v>315</v>
      </c>
      <c r="G120" s="9">
        <v>4</v>
      </c>
      <c r="H120" s="10">
        <f t="shared" si="28"/>
        <v>319</v>
      </c>
      <c r="I120" s="17">
        <v>164</v>
      </c>
      <c r="J120" s="17">
        <v>9</v>
      </c>
      <c r="K120" s="17">
        <v>20</v>
      </c>
      <c r="L120" s="17">
        <f t="shared" si="18"/>
        <v>173</v>
      </c>
      <c r="M120" s="18">
        <f t="shared" si="19"/>
        <v>11</v>
      </c>
      <c r="N120" s="19">
        <v>0</v>
      </c>
      <c r="O120" s="19">
        <v>0</v>
      </c>
      <c r="P120" s="19">
        <v>0</v>
      </c>
      <c r="Q120" s="19">
        <f t="shared" si="20"/>
        <v>0</v>
      </c>
      <c r="R120" s="20">
        <f t="shared" si="21"/>
        <v>0</v>
      </c>
      <c r="S120" s="21">
        <f t="shared" si="22"/>
        <v>173</v>
      </c>
      <c r="T120" s="21">
        <f t="shared" si="23"/>
        <v>9</v>
      </c>
      <c r="U120" s="21">
        <f>K120+P120</f>
        <v>20</v>
      </c>
      <c r="V120" s="21">
        <f t="shared" si="29"/>
        <v>-153</v>
      </c>
      <c r="W120" s="11">
        <f>I120+J120+K120</f>
        <v>193</v>
      </c>
      <c r="X120" s="11">
        <f>N120+O120+P120</f>
        <v>0</v>
      </c>
      <c r="Y120" s="12">
        <f t="shared" si="30"/>
        <v>193</v>
      </c>
      <c r="Z120" s="13">
        <f>I120+K120</f>
        <v>184</v>
      </c>
      <c r="AA120" s="13">
        <f>N120+P120</f>
        <v>0</v>
      </c>
      <c r="AB120" s="14">
        <f t="shared" si="31"/>
        <v>184</v>
      </c>
      <c r="AC120" s="35">
        <f>W120/F120</f>
        <v>0.61269841269841274</v>
      </c>
      <c r="AD120" s="35">
        <f>X120/G120</f>
        <v>0</v>
      </c>
      <c r="AE120" s="15">
        <f>Y120/H120</f>
        <v>0.60501567398119127</v>
      </c>
      <c r="AF120" s="36">
        <f>Z120/F120</f>
        <v>0.58412698412698416</v>
      </c>
      <c r="AG120" s="36">
        <f>AA120/G120</f>
        <v>0</v>
      </c>
      <c r="AH120" s="15">
        <f>AB120/H120</f>
        <v>0.57680250783699061</v>
      </c>
    </row>
    <row r="121" spans="1:34" x14ac:dyDescent="0.35">
      <c r="A121" s="8">
        <v>118</v>
      </c>
      <c r="B121" s="1" t="s">
        <v>267</v>
      </c>
      <c r="C121" s="1" t="s">
        <v>268</v>
      </c>
      <c r="D121" s="1" t="s">
        <v>15</v>
      </c>
      <c r="E121" s="1" t="s">
        <v>37</v>
      </c>
      <c r="F121" s="9">
        <v>154</v>
      </c>
      <c r="G121" s="9">
        <v>136</v>
      </c>
      <c r="H121" s="10">
        <f t="shared" si="28"/>
        <v>290</v>
      </c>
      <c r="I121" s="17">
        <v>101</v>
      </c>
      <c r="J121" s="17">
        <v>18</v>
      </c>
      <c r="K121" s="17">
        <v>17</v>
      </c>
      <c r="L121" s="17">
        <f t="shared" si="18"/>
        <v>119</v>
      </c>
      <c r="M121" s="18">
        <f t="shared" si="19"/>
        <v>-1</v>
      </c>
      <c r="N121" s="19">
        <v>28</v>
      </c>
      <c r="O121" s="19">
        <v>48</v>
      </c>
      <c r="P121" s="19">
        <v>51</v>
      </c>
      <c r="Q121" s="19">
        <f t="shared" si="20"/>
        <v>76</v>
      </c>
      <c r="R121" s="20">
        <f t="shared" si="21"/>
        <v>3</v>
      </c>
      <c r="S121" s="21">
        <f t="shared" si="22"/>
        <v>195</v>
      </c>
      <c r="T121" s="21">
        <f t="shared" si="23"/>
        <v>66</v>
      </c>
      <c r="U121" s="21">
        <f>K121+P121</f>
        <v>68</v>
      </c>
      <c r="V121" s="21">
        <f t="shared" si="29"/>
        <v>-127</v>
      </c>
      <c r="W121" s="11">
        <f>I121+J121+K121</f>
        <v>136</v>
      </c>
      <c r="X121" s="11">
        <f>N121+O121+P121</f>
        <v>127</v>
      </c>
      <c r="Y121" s="12">
        <f t="shared" si="30"/>
        <v>263</v>
      </c>
      <c r="Z121" s="13">
        <f>I121+K121</f>
        <v>118</v>
      </c>
      <c r="AA121" s="13">
        <f>N121+P121</f>
        <v>79</v>
      </c>
      <c r="AB121" s="14">
        <f t="shared" si="31"/>
        <v>197</v>
      </c>
      <c r="AC121" s="35">
        <f>W121/F121</f>
        <v>0.88311688311688308</v>
      </c>
      <c r="AD121" s="35">
        <f>X121/G121</f>
        <v>0.93382352941176472</v>
      </c>
      <c r="AE121" s="15">
        <f>Y121/H121</f>
        <v>0.90689655172413797</v>
      </c>
      <c r="AF121" s="36">
        <f>Z121/F121</f>
        <v>0.76623376623376627</v>
      </c>
      <c r="AG121" s="36">
        <f>AA121/G121</f>
        <v>0.58088235294117652</v>
      </c>
      <c r="AH121" s="15">
        <f>AB121/H121</f>
        <v>0.67931034482758623</v>
      </c>
    </row>
    <row r="122" spans="1:34" x14ac:dyDescent="0.35">
      <c r="A122" s="8">
        <v>119</v>
      </c>
      <c r="B122" s="1" t="s">
        <v>269</v>
      </c>
      <c r="C122" s="1" t="s">
        <v>270</v>
      </c>
      <c r="D122" s="1" t="s">
        <v>15</v>
      </c>
      <c r="E122" s="1" t="s">
        <v>88</v>
      </c>
      <c r="F122" s="9">
        <v>252</v>
      </c>
      <c r="G122" s="9">
        <v>33</v>
      </c>
      <c r="H122" s="10">
        <f t="shared" si="28"/>
        <v>285</v>
      </c>
      <c r="I122" s="17">
        <v>74</v>
      </c>
      <c r="J122" s="17">
        <v>17</v>
      </c>
      <c r="K122" s="17">
        <v>33</v>
      </c>
      <c r="L122" s="17">
        <f t="shared" si="18"/>
        <v>91</v>
      </c>
      <c r="M122" s="18">
        <f t="shared" si="19"/>
        <v>16</v>
      </c>
      <c r="N122" s="19">
        <v>1</v>
      </c>
      <c r="O122" s="19">
        <v>11</v>
      </c>
      <c r="P122" s="19">
        <v>1</v>
      </c>
      <c r="Q122" s="19">
        <f t="shared" si="20"/>
        <v>12</v>
      </c>
      <c r="R122" s="20">
        <f t="shared" si="21"/>
        <v>-10</v>
      </c>
      <c r="S122" s="21">
        <f t="shared" si="22"/>
        <v>103</v>
      </c>
      <c r="T122" s="21">
        <f t="shared" si="23"/>
        <v>28</v>
      </c>
      <c r="U122" s="21">
        <f>K122+P122</f>
        <v>34</v>
      </c>
      <c r="V122" s="21">
        <f t="shared" si="29"/>
        <v>-69</v>
      </c>
      <c r="W122" s="11">
        <f>I122+J122+K122</f>
        <v>124</v>
      </c>
      <c r="X122" s="11">
        <f>N122+O122+P122</f>
        <v>13</v>
      </c>
      <c r="Y122" s="12">
        <f t="shared" si="30"/>
        <v>137</v>
      </c>
      <c r="Z122" s="13">
        <f>I122+K122</f>
        <v>107</v>
      </c>
      <c r="AA122" s="13">
        <f>N122+P122</f>
        <v>2</v>
      </c>
      <c r="AB122" s="14">
        <f t="shared" si="31"/>
        <v>109</v>
      </c>
      <c r="AC122" s="35">
        <f>W122/F122</f>
        <v>0.49206349206349204</v>
      </c>
      <c r="AD122" s="35">
        <f>X122/G122</f>
        <v>0.39393939393939392</v>
      </c>
      <c r="AE122" s="15">
        <f>Y122/H122</f>
        <v>0.48070175438596491</v>
      </c>
      <c r="AF122" s="36">
        <f>Z122/F122</f>
        <v>0.42460317460317459</v>
      </c>
      <c r="AG122" s="36">
        <f>AA122/G122</f>
        <v>6.0606060606060608E-2</v>
      </c>
      <c r="AH122" s="15">
        <f>AB122/H122</f>
        <v>0.38245614035087722</v>
      </c>
    </row>
    <row r="123" spans="1:34" x14ac:dyDescent="0.35">
      <c r="A123" s="8">
        <v>120</v>
      </c>
      <c r="B123" s="1" t="s">
        <v>271</v>
      </c>
      <c r="C123" s="1" t="s">
        <v>272</v>
      </c>
      <c r="D123" s="1" t="s">
        <v>15</v>
      </c>
      <c r="E123" s="1" t="s">
        <v>16</v>
      </c>
      <c r="F123" s="9">
        <v>356</v>
      </c>
      <c r="G123" s="9">
        <v>43</v>
      </c>
      <c r="H123" s="10">
        <f t="shared" si="28"/>
        <v>399</v>
      </c>
      <c r="I123" s="17">
        <v>103</v>
      </c>
      <c r="J123" s="17">
        <v>74</v>
      </c>
      <c r="K123" s="17">
        <v>16</v>
      </c>
      <c r="L123" s="17">
        <f t="shared" si="18"/>
        <v>177</v>
      </c>
      <c r="M123" s="18">
        <f t="shared" si="19"/>
        <v>-58</v>
      </c>
      <c r="N123" s="19">
        <v>0</v>
      </c>
      <c r="O123" s="19">
        <v>10</v>
      </c>
      <c r="P123" s="19">
        <v>5</v>
      </c>
      <c r="Q123" s="19">
        <f t="shared" si="20"/>
        <v>10</v>
      </c>
      <c r="R123" s="20">
        <f t="shared" si="21"/>
        <v>-5</v>
      </c>
      <c r="S123" s="21">
        <f t="shared" si="22"/>
        <v>187</v>
      </c>
      <c r="T123" s="21">
        <f t="shared" si="23"/>
        <v>84</v>
      </c>
      <c r="U123" s="21">
        <f>K123+P123</f>
        <v>21</v>
      </c>
      <c r="V123" s="21">
        <f t="shared" si="29"/>
        <v>-166</v>
      </c>
      <c r="W123" s="11">
        <f>I123+J123+K123</f>
        <v>193</v>
      </c>
      <c r="X123" s="11">
        <f>N123+O123+P123</f>
        <v>15</v>
      </c>
      <c r="Y123" s="12">
        <f t="shared" si="30"/>
        <v>208</v>
      </c>
      <c r="Z123" s="13">
        <f>I123+K123</f>
        <v>119</v>
      </c>
      <c r="AA123" s="13">
        <f>N123+P123</f>
        <v>5</v>
      </c>
      <c r="AB123" s="14">
        <f t="shared" si="31"/>
        <v>124</v>
      </c>
      <c r="AC123" s="35">
        <f>W123/F123</f>
        <v>0.5421348314606742</v>
      </c>
      <c r="AD123" s="35">
        <f>X123/G123</f>
        <v>0.34883720930232559</v>
      </c>
      <c r="AE123" s="15">
        <f>Y123/H123</f>
        <v>0.52130325814536338</v>
      </c>
      <c r="AF123" s="36">
        <f>Z123/F123</f>
        <v>0.3342696629213483</v>
      </c>
      <c r="AG123" s="36">
        <f>AA123/G123</f>
        <v>0.11627906976744186</v>
      </c>
      <c r="AH123" s="15">
        <f>AB123/H123</f>
        <v>0.31077694235588971</v>
      </c>
    </row>
    <row r="124" spans="1:34" x14ac:dyDescent="0.35">
      <c r="A124" s="8">
        <v>121</v>
      </c>
      <c r="B124" s="1" t="s">
        <v>273</v>
      </c>
      <c r="C124" s="1" t="s">
        <v>274</v>
      </c>
      <c r="D124" s="1" t="s">
        <v>15</v>
      </c>
      <c r="E124" s="1" t="s">
        <v>48</v>
      </c>
      <c r="F124" s="9">
        <v>400</v>
      </c>
      <c r="G124" s="9">
        <v>42</v>
      </c>
      <c r="H124" s="10">
        <f t="shared" si="28"/>
        <v>442</v>
      </c>
      <c r="I124" s="17">
        <v>182</v>
      </c>
      <c r="J124" s="17">
        <v>62</v>
      </c>
      <c r="K124" s="17">
        <v>24</v>
      </c>
      <c r="L124" s="17">
        <f t="shared" si="18"/>
        <v>244</v>
      </c>
      <c r="M124" s="18">
        <f t="shared" si="19"/>
        <v>-38</v>
      </c>
      <c r="N124" s="19">
        <v>9</v>
      </c>
      <c r="O124" s="19">
        <v>6</v>
      </c>
      <c r="P124" s="19">
        <v>10</v>
      </c>
      <c r="Q124" s="19">
        <f t="shared" si="20"/>
        <v>15</v>
      </c>
      <c r="R124" s="20">
        <f t="shared" si="21"/>
        <v>4</v>
      </c>
      <c r="S124" s="21">
        <f t="shared" si="22"/>
        <v>259</v>
      </c>
      <c r="T124" s="21">
        <f t="shared" si="23"/>
        <v>68</v>
      </c>
      <c r="U124" s="21">
        <f>K124+P124</f>
        <v>34</v>
      </c>
      <c r="V124" s="21">
        <f t="shared" si="29"/>
        <v>-225</v>
      </c>
      <c r="W124" s="11">
        <f>I124+J124+K124</f>
        <v>268</v>
      </c>
      <c r="X124" s="11">
        <f>N124+O124+P124</f>
        <v>25</v>
      </c>
      <c r="Y124" s="12">
        <f t="shared" si="30"/>
        <v>293</v>
      </c>
      <c r="Z124" s="13">
        <f>I124+K124</f>
        <v>206</v>
      </c>
      <c r="AA124" s="13">
        <f>N124+P124</f>
        <v>19</v>
      </c>
      <c r="AB124" s="14">
        <f t="shared" si="31"/>
        <v>225</v>
      </c>
      <c r="AC124" s="35">
        <f>W124/F124</f>
        <v>0.67</v>
      </c>
      <c r="AD124" s="35">
        <f>X124/G124</f>
        <v>0.59523809523809523</v>
      </c>
      <c r="AE124" s="15">
        <f>Y124/H124</f>
        <v>0.66289592760180993</v>
      </c>
      <c r="AF124" s="36">
        <f>Z124/F124</f>
        <v>0.51500000000000001</v>
      </c>
      <c r="AG124" s="36">
        <f>AA124/G124</f>
        <v>0.45238095238095238</v>
      </c>
      <c r="AH124" s="15">
        <f>AB124/H124</f>
        <v>0.50904977375565608</v>
      </c>
    </row>
    <row r="125" spans="1:34" x14ac:dyDescent="0.35">
      <c r="A125" s="8">
        <v>122</v>
      </c>
      <c r="B125" s="1" t="s">
        <v>275</v>
      </c>
      <c r="C125" s="1" t="s">
        <v>276</v>
      </c>
      <c r="D125" s="1" t="s">
        <v>15</v>
      </c>
      <c r="E125" s="1" t="s">
        <v>51</v>
      </c>
      <c r="F125" s="9">
        <v>206</v>
      </c>
      <c r="G125" s="9">
        <v>160</v>
      </c>
      <c r="H125" s="10">
        <f t="shared" si="28"/>
        <v>366</v>
      </c>
      <c r="I125" s="17">
        <v>163</v>
      </c>
      <c r="J125" s="17">
        <v>18</v>
      </c>
      <c r="K125" s="17">
        <v>29</v>
      </c>
      <c r="L125" s="17">
        <f t="shared" si="18"/>
        <v>181</v>
      </c>
      <c r="M125" s="18">
        <f t="shared" si="19"/>
        <v>11</v>
      </c>
      <c r="N125" s="19">
        <v>12</v>
      </c>
      <c r="O125" s="19">
        <v>15</v>
      </c>
      <c r="P125" s="19">
        <v>39</v>
      </c>
      <c r="Q125" s="19">
        <f t="shared" si="20"/>
        <v>27</v>
      </c>
      <c r="R125" s="20">
        <f t="shared" si="21"/>
        <v>24</v>
      </c>
      <c r="S125" s="21">
        <f t="shared" si="22"/>
        <v>208</v>
      </c>
      <c r="T125" s="21">
        <f t="shared" si="23"/>
        <v>33</v>
      </c>
      <c r="U125" s="21">
        <f>K125+P125</f>
        <v>68</v>
      </c>
      <c r="V125" s="21">
        <f t="shared" si="29"/>
        <v>-140</v>
      </c>
      <c r="W125" s="11">
        <f>I125+J125+K125</f>
        <v>210</v>
      </c>
      <c r="X125" s="11">
        <f>N125+O125+P125</f>
        <v>66</v>
      </c>
      <c r="Y125" s="12">
        <f t="shared" si="30"/>
        <v>276</v>
      </c>
      <c r="Z125" s="13">
        <f>I125+K125</f>
        <v>192</v>
      </c>
      <c r="AA125" s="13">
        <f>N125+P125</f>
        <v>51</v>
      </c>
      <c r="AB125" s="14">
        <f t="shared" si="31"/>
        <v>243</v>
      </c>
      <c r="AC125" s="35">
        <f>W125/F125</f>
        <v>1.0194174757281553</v>
      </c>
      <c r="AD125" s="35">
        <f>X125/G125</f>
        <v>0.41249999999999998</v>
      </c>
      <c r="AE125" s="15">
        <f>Y125/H125</f>
        <v>0.75409836065573765</v>
      </c>
      <c r="AF125" s="36">
        <f>Z125/F125</f>
        <v>0.93203883495145634</v>
      </c>
      <c r="AG125" s="36">
        <f>AA125/G125</f>
        <v>0.31874999999999998</v>
      </c>
      <c r="AH125" s="15">
        <f>AB125/H125</f>
        <v>0.66393442622950816</v>
      </c>
    </row>
    <row r="126" spans="1:34" x14ac:dyDescent="0.35">
      <c r="A126" s="8">
        <v>123</v>
      </c>
      <c r="B126" s="1" t="s">
        <v>277</v>
      </c>
      <c r="C126" s="1" t="s">
        <v>278</v>
      </c>
      <c r="D126" s="1" t="s">
        <v>15</v>
      </c>
      <c r="E126" s="1" t="s">
        <v>58</v>
      </c>
      <c r="F126" s="9">
        <v>303</v>
      </c>
      <c r="G126" s="9">
        <v>124</v>
      </c>
      <c r="H126" s="10">
        <f t="shared" si="28"/>
        <v>427</v>
      </c>
      <c r="I126" s="17">
        <v>200</v>
      </c>
      <c r="J126" s="17">
        <v>29</v>
      </c>
      <c r="K126" s="17">
        <v>78</v>
      </c>
      <c r="L126" s="17">
        <f t="shared" si="18"/>
        <v>229</v>
      </c>
      <c r="M126" s="18">
        <f t="shared" si="19"/>
        <v>49</v>
      </c>
      <c r="N126" s="19">
        <v>3</v>
      </c>
      <c r="O126" s="19">
        <v>12</v>
      </c>
      <c r="P126" s="19">
        <v>6</v>
      </c>
      <c r="Q126" s="19">
        <f t="shared" si="20"/>
        <v>15</v>
      </c>
      <c r="R126" s="20">
        <f t="shared" si="21"/>
        <v>-6</v>
      </c>
      <c r="S126" s="21">
        <f t="shared" si="22"/>
        <v>244</v>
      </c>
      <c r="T126" s="21">
        <f t="shared" si="23"/>
        <v>41</v>
      </c>
      <c r="U126" s="21">
        <f>K126+P126</f>
        <v>84</v>
      </c>
      <c r="V126" s="21">
        <f t="shared" si="29"/>
        <v>-160</v>
      </c>
      <c r="W126" s="11">
        <f>I126+J126+K126</f>
        <v>307</v>
      </c>
      <c r="X126" s="11">
        <f>N126+O126+P126</f>
        <v>21</v>
      </c>
      <c r="Y126" s="12">
        <f t="shared" si="30"/>
        <v>328</v>
      </c>
      <c r="Z126" s="13">
        <f>I126+K126</f>
        <v>278</v>
      </c>
      <c r="AA126" s="13">
        <f>N126+P126</f>
        <v>9</v>
      </c>
      <c r="AB126" s="14">
        <f t="shared" si="31"/>
        <v>287</v>
      </c>
      <c r="AC126" s="35">
        <f>W126/F126</f>
        <v>1.0132013201320131</v>
      </c>
      <c r="AD126" s="35">
        <f>X126/G126</f>
        <v>0.16935483870967741</v>
      </c>
      <c r="AE126" s="15">
        <f>Y126/H126</f>
        <v>0.76814988290398123</v>
      </c>
      <c r="AF126" s="36">
        <f>Z126/F126</f>
        <v>0.91749174917491749</v>
      </c>
      <c r="AG126" s="36">
        <f>AA126/G126</f>
        <v>7.2580645161290328E-2</v>
      </c>
      <c r="AH126" s="15">
        <f>AB126/H126</f>
        <v>0.67213114754098358</v>
      </c>
    </row>
    <row r="127" spans="1:34" x14ac:dyDescent="0.35">
      <c r="A127" s="8">
        <v>124</v>
      </c>
      <c r="B127" s="1" t="s">
        <v>279</v>
      </c>
      <c r="C127" s="1" t="s">
        <v>280</v>
      </c>
      <c r="D127" s="1" t="s">
        <v>61</v>
      </c>
      <c r="E127" s="1" t="s">
        <v>68</v>
      </c>
      <c r="F127" s="9">
        <v>1837</v>
      </c>
      <c r="G127" s="9">
        <v>406</v>
      </c>
      <c r="H127" s="10">
        <f t="shared" si="28"/>
        <v>2243</v>
      </c>
      <c r="I127" s="17">
        <v>999</v>
      </c>
      <c r="J127" s="17">
        <v>204</v>
      </c>
      <c r="K127" s="17">
        <v>206</v>
      </c>
      <c r="L127" s="17">
        <f t="shared" si="18"/>
        <v>1203</v>
      </c>
      <c r="M127" s="18">
        <f t="shared" si="19"/>
        <v>2</v>
      </c>
      <c r="N127" s="19">
        <v>44</v>
      </c>
      <c r="O127" s="19">
        <v>119</v>
      </c>
      <c r="P127" s="19">
        <v>72</v>
      </c>
      <c r="Q127" s="19">
        <f t="shared" si="20"/>
        <v>163</v>
      </c>
      <c r="R127" s="20">
        <f t="shared" si="21"/>
        <v>-47</v>
      </c>
      <c r="S127" s="21">
        <f t="shared" si="22"/>
        <v>1366</v>
      </c>
      <c r="T127" s="21">
        <f t="shared" si="23"/>
        <v>323</v>
      </c>
      <c r="U127" s="21">
        <f>K127+P127</f>
        <v>278</v>
      </c>
      <c r="V127" s="21">
        <f t="shared" si="29"/>
        <v>-1088</v>
      </c>
      <c r="W127" s="11">
        <f>I127+J127+K127</f>
        <v>1409</v>
      </c>
      <c r="X127" s="11">
        <f>N127+O127+P127</f>
        <v>235</v>
      </c>
      <c r="Y127" s="12">
        <f t="shared" si="30"/>
        <v>1644</v>
      </c>
      <c r="Z127" s="13">
        <f>I127+K127</f>
        <v>1205</v>
      </c>
      <c r="AA127" s="13">
        <f>N127+P127</f>
        <v>116</v>
      </c>
      <c r="AB127" s="14">
        <f t="shared" si="31"/>
        <v>1321</v>
      </c>
      <c r="AC127" s="35">
        <f>W127/F127</f>
        <v>0.76701143168209041</v>
      </c>
      <c r="AD127" s="35">
        <f>X127/G127</f>
        <v>0.5788177339901478</v>
      </c>
      <c r="AE127" s="15">
        <f>Y127/H127</f>
        <v>0.73294694605439148</v>
      </c>
      <c r="AF127" s="36">
        <f>Z127/F127</f>
        <v>0.65596080566140447</v>
      </c>
      <c r="AG127" s="36">
        <f>AA127/G127</f>
        <v>0.2857142857142857</v>
      </c>
      <c r="AH127" s="15">
        <f>AB127/H127</f>
        <v>0.58894337940258579</v>
      </c>
    </row>
    <row r="128" spans="1:34" x14ac:dyDescent="0.35">
      <c r="A128" s="8">
        <v>125</v>
      </c>
      <c r="B128" s="1" t="s">
        <v>281</v>
      </c>
      <c r="C128" s="1" t="s">
        <v>282</v>
      </c>
      <c r="D128" s="1" t="s">
        <v>15</v>
      </c>
      <c r="E128" s="1" t="s">
        <v>96</v>
      </c>
      <c r="F128" s="9">
        <v>269</v>
      </c>
      <c r="G128" s="9">
        <v>8</v>
      </c>
      <c r="H128" s="10">
        <f t="shared" si="28"/>
        <v>277</v>
      </c>
      <c r="I128" s="17">
        <v>126</v>
      </c>
      <c r="J128" s="17">
        <v>26</v>
      </c>
      <c r="K128" s="17">
        <v>54</v>
      </c>
      <c r="L128" s="17">
        <f t="shared" si="18"/>
        <v>152</v>
      </c>
      <c r="M128" s="18">
        <f t="shared" si="19"/>
        <v>28</v>
      </c>
      <c r="N128" s="19">
        <v>1</v>
      </c>
      <c r="O128" s="19">
        <v>4</v>
      </c>
      <c r="P128" s="19">
        <v>5</v>
      </c>
      <c r="Q128" s="19">
        <f t="shared" si="20"/>
        <v>5</v>
      </c>
      <c r="R128" s="20">
        <f t="shared" si="21"/>
        <v>1</v>
      </c>
      <c r="S128" s="21">
        <f t="shared" si="22"/>
        <v>157</v>
      </c>
      <c r="T128" s="21">
        <f t="shared" si="23"/>
        <v>30</v>
      </c>
      <c r="U128" s="21">
        <f>K128+P128</f>
        <v>59</v>
      </c>
      <c r="V128" s="21">
        <f t="shared" si="29"/>
        <v>-98</v>
      </c>
      <c r="W128" s="11">
        <f>I128+J128+K128</f>
        <v>206</v>
      </c>
      <c r="X128" s="11">
        <f>N128+O128+P128</f>
        <v>10</v>
      </c>
      <c r="Y128" s="12">
        <f t="shared" si="30"/>
        <v>216</v>
      </c>
      <c r="Z128" s="13">
        <f>I128+K128</f>
        <v>180</v>
      </c>
      <c r="AA128" s="13">
        <f>N128+P128</f>
        <v>6</v>
      </c>
      <c r="AB128" s="14">
        <f t="shared" si="31"/>
        <v>186</v>
      </c>
      <c r="AC128" s="35">
        <f>W128/F128</f>
        <v>0.76579925650557623</v>
      </c>
      <c r="AD128" s="35">
        <f>X128/G128</f>
        <v>1.25</v>
      </c>
      <c r="AE128" s="15">
        <f>Y128/H128</f>
        <v>0.77978339350180503</v>
      </c>
      <c r="AF128" s="36">
        <f>Z128/F128</f>
        <v>0.66914498141263945</v>
      </c>
      <c r="AG128" s="36">
        <f>AA128/G128</f>
        <v>0.75</v>
      </c>
      <c r="AH128" s="15">
        <f>AB128/H128</f>
        <v>0.67148014440433212</v>
      </c>
    </row>
    <row r="129" spans="1:34" x14ac:dyDescent="0.35">
      <c r="A129" s="8">
        <v>126</v>
      </c>
      <c r="B129" s="1" t="s">
        <v>283</v>
      </c>
      <c r="C129" s="1" t="s">
        <v>284</v>
      </c>
      <c r="D129" s="1" t="s">
        <v>15</v>
      </c>
      <c r="E129" s="1" t="s">
        <v>37</v>
      </c>
      <c r="F129" s="9">
        <v>356</v>
      </c>
      <c r="G129" s="9">
        <v>29</v>
      </c>
      <c r="H129" s="10">
        <f t="shared" si="28"/>
        <v>385</v>
      </c>
      <c r="I129" s="17">
        <v>300</v>
      </c>
      <c r="J129" s="17">
        <v>56</v>
      </c>
      <c r="K129" s="17">
        <v>66</v>
      </c>
      <c r="L129" s="17">
        <f t="shared" si="18"/>
        <v>356</v>
      </c>
      <c r="M129" s="18">
        <f t="shared" si="19"/>
        <v>10</v>
      </c>
      <c r="N129" s="19">
        <v>12</v>
      </c>
      <c r="O129" s="19">
        <v>14</v>
      </c>
      <c r="P129" s="19">
        <v>18</v>
      </c>
      <c r="Q129" s="19">
        <f t="shared" si="20"/>
        <v>26</v>
      </c>
      <c r="R129" s="20">
        <f t="shared" si="21"/>
        <v>4</v>
      </c>
      <c r="S129" s="21">
        <f t="shared" si="22"/>
        <v>382</v>
      </c>
      <c r="T129" s="21">
        <f t="shared" si="23"/>
        <v>70</v>
      </c>
      <c r="U129" s="21">
        <f>K129+P129</f>
        <v>84</v>
      </c>
      <c r="V129" s="21">
        <f t="shared" si="29"/>
        <v>-298</v>
      </c>
      <c r="W129" s="11">
        <f>I129+J129+K129</f>
        <v>422</v>
      </c>
      <c r="X129" s="11">
        <f>N129+O129+P129</f>
        <v>44</v>
      </c>
      <c r="Y129" s="12">
        <f t="shared" si="30"/>
        <v>466</v>
      </c>
      <c r="Z129" s="13">
        <f>I129+K129</f>
        <v>366</v>
      </c>
      <c r="AA129" s="13">
        <f>N129+P129</f>
        <v>30</v>
      </c>
      <c r="AB129" s="14">
        <f t="shared" si="31"/>
        <v>396</v>
      </c>
      <c r="AC129" s="35">
        <f>W129/F129</f>
        <v>1.1853932584269662</v>
      </c>
      <c r="AD129" s="35">
        <f>X129/G129</f>
        <v>1.5172413793103448</v>
      </c>
      <c r="AE129" s="15">
        <f>Y129/H129</f>
        <v>1.2103896103896103</v>
      </c>
      <c r="AF129" s="36">
        <f>Z129/F129</f>
        <v>1.0280898876404494</v>
      </c>
      <c r="AG129" s="36">
        <f>AA129/G129</f>
        <v>1.0344827586206897</v>
      </c>
      <c r="AH129" s="15">
        <f>AB129/H129</f>
        <v>1.0285714285714285</v>
      </c>
    </row>
    <row r="130" spans="1:34" x14ac:dyDescent="0.35">
      <c r="A130" s="8">
        <v>127</v>
      </c>
      <c r="B130" s="1" t="s">
        <v>285</v>
      </c>
      <c r="C130" s="1" t="s">
        <v>286</v>
      </c>
      <c r="D130" s="1" t="s">
        <v>15</v>
      </c>
      <c r="E130" s="1" t="s">
        <v>16</v>
      </c>
      <c r="F130" s="9">
        <v>262</v>
      </c>
      <c r="G130" s="9">
        <v>150</v>
      </c>
      <c r="H130" s="10">
        <f t="shared" si="28"/>
        <v>412</v>
      </c>
      <c r="I130" s="17">
        <v>79</v>
      </c>
      <c r="J130" s="17">
        <v>60</v>
      </c>
      <c r="K130" s="17">
        <v>44</v>
      </c>
      <c r="L130" s="17">
        <f t="shared" si="18"/>
        <v>139</v>
      </c>
      <c r="M130" s="18">
        <f t="shared" si="19"/>
        <v>-16</v>
      </c>
      <c r="N130" s="19">
        <v>4</v>
      </c>
      <c r="O130" s="19">
        <v>17</v>
      </c>
      <c r="P130" s="19">
        <v>8</v>
      </c>
      <c r="Q130" s="19">
        <f t="shared" si="20"/>
        <v>21</v>
      </c>
      <c r="R130" s="20">
        <f t="shared" si="21"/>
        <v>-9</v>
      </c>
      <c r="S130" s="21">
        <f t="shared" si="22"/>
        <v>160</v>
      </c>
      <c r="T130" s="21">
        <f t="shared" si="23"/>
        <v>77</v>
      </c>
      <c r="U130" s="21">
        <f>K130+P130</f>
        <v>52</v>
      </c>
      <c r="V130" s="21">
        <f t="shared" si="29"/>
        <v>-108</v>
      </c>
      <c r="W130" s="11">
        <f>I130+J130+K130</f>
        <v>183</v>
      </c>
      <c r="X130" s="11">
        <f>N130+O130+P130</f>
        <v>29</v>
      </c>
      <c r="Y130" s="12">
        <f t="shared" si="30"/>
        <v>212</v>
      </c>
      <c r="Z130" s="13">
        <f>I130+K130</f>
        <v>123</v>
      </c>
      <c r="AA130" s="13">
        <f>N130+P130</f>
        <v>12</v>
      </c>
      <c r="AB130" s="14">
        <f t="shared" si="31"/>
        <v>135</v>
      </c>
      <c r="AC130" s="35">
        <f>W130/F130</f>
        <v>0.69847328244274809</v>
      </c>
      <c r="AD130" s="35">
        <f>X130/G130</f>
        <v>0.19333333333333333</v>
      </c>
      <c r="AE130" s="15">
        <f>Y130/H130</f>
        <v>0.5145631067961165</v>
      </c>
      <c r="AF130" s="36">
        <f>Z130/F130</f>
        <v>0.46946564885496184</v>
      </c>
      <c r="AG130" s="36">
        <f>AA130/G130</f>
        <v>0.08</v>
      </c>
      <c r="AH130" s="15">
        <f>AB130/H130</f>
        <v>0.32766990291262138</v>
      </c>
    </row>
    <row r="131" spans="1:34" x14ac:dyDescent="0.35">
      <c r="A131" s="8">
        <v>128</v>
      </c>
      <c r="B131" s="1" t="s">
        <v>287</v>
      </c>
      <c r="C131" s="1" t="s">
        <v>288</v>
      </c>
      <c r="D131" s="1" t="s">
        <v>15</v>
      </c>
      <c r="E131" s="1" t="s">
        <v>68</v>
      </c>
      <c r="F131" s="9">
        <v>277</v>
      </c>
      <c r="G131" s="9">
        <v>43</v>
      </c>
      <c r="H131" s="10">
        <f t="shared" si="28"/>
        <v>320</v>
      </c>
      <c r="I131" s="17">
        <v>123</v>
      </c>
      <c r="J131" s="17">
        <v>27</v>
      </c>
      <c r="K131" s="17">
        <v>21</v>
      </c>
      <c r="L131" s="17">
        <f t="shared" si="18"/>
        <v>150</v>
      </c>
      <c r="M131" s="18">
        <f t="shared" si="19"/>
        <v>-6</v>
      </c>
      <c r="N131" s="19">
        <v>10</v>
      </c>
      <c r="O131" s="19">
        <v>4</v>
      </c>
      <c r="P131" s="19">
        <v>11</v>
      </c>
      <c r="Q131" s="19">
        <f t="shared" si="20"/>
        <v>14</v>
      </c>
      <c r="R131" s="20">
        <f t="shared" si="21"/>
        <v>7</v>
      </c>
      <c r="S131" s="21">
        <f t="shared" si="22"/>
        <v>164</v>
      </c>
      <c r="T131" s="21">
        <f t="shared" si="23"/>
        <v>31</v>
      </c>
      <c r="U131" s="21">
        <f>K131+P131</f>
        <v>32</v>
      </c>
      <c r="V131" s="21">
        <f t="shared" si="29"/>
        <v>-132</v>
      </c>
      <c r="W131" s="11">
        <f>I131+J131+K131</f>
        <v>171</v>
      </c>
      <c r="X131" s="11">
        <f>N131+O131+P131</f>
        <v>25</v>
      </c>
      <c r="Y131" s="12">
        <f t="shared" si="30"/>
        <v>196</v>
      </c>
      <c r="Z131" s="13">
        <f>I131+K131</f>
        <v>144</v>
      </c>
      <c r="AA131" s="13">
        <f>N131+P131</f>
        <v>21</v>
      </c>
      <c r="AB131" s="14">
        <f t="shared" si="31"/>
        <v>165</v>
      </c>
      <c r="AC131" s="35">
        <f>W131/F131</f>
        <v>0.61732851985559567</v>
      </c>
      <c r="AD131" s="35">
        <f>X131/G131</f>
        <v>0.58139534883720934</v>
      </c>
      <c r="AE131" s="15">
        <f>Y131/H131</f>
        <v>0.61250000000000004</v>
      </c>
      <c r="AF131" s="36">
        <f>Z131/F131</f>
        <v>0.51985559566786999</v>
      </c>
      <c r="AG131" s="36">
        <f>AA131/G131</f>
        <v>0.48837209302325579</v>
      </c>
      <c r="AH131" s="15">
        <f>AB131/H131</f>
        <v>0.515625</v>
      </c>
    </row>
    <row r="132" spans="1:34" x14ac:dyDescent="0.35">
      <c r="A132" s="8">
        <v>129</v>
      </c>
      <c r="B132" s="1" t="s">
        <v>289</v>
      </c>
      <c r="C132" s="1" t="s">
        <v>290</v>
      </c>
      <c r="D132" s="1" t="s">
        <v>15</v>
      </c>
      <c r="E132" s="1" t="s">
        <v>51</v>
      </c>
      <c r="F132" s="9">
        <v>347</v>
      </c>
      <c r="G132" s="9">
        <v>18</v>
      </c>
      <c r="H132" s="10">
        <f t="shared" si="28"/>
        <v>365</v>
      </c>
      <c r="I132" s="17">
        <v>151</v>
      </c>
      <c r="J132" s="17">
        <v>79</v>
      </c>
      <c r="K132" s="17">
        <v>17</v>
      </c>
      <c r="L132" s="17">
        <f t="shared" si="18"/>
        <v>230</v>
      </c>
      <c r="M132" s="18">
        <f t="shared" si="19"/>
        <v>-62</v>
      </c>
      <c r="N132" s="19">
        <v>1</v>
      </c>
      <c r="O132" s="19">
        <v>9</v>
      </c>
      <c r="P132" s="19">
        <v>7</v>
      </c>
      <c r="Q132" s="19">
        <f t="shared" si="20"/>
        <v>10</v>
      </c>
      <c r="R132" s="20">
        <f t="shared" si="21"/>
        <v>-2</v>
      </c>
      <c r="S132" s="21">
        <f t="shared" si="22"/>
        <v>240</v>
      </c>
      <c r="T132" s="21">
        <f t="shared" si="23"/>
        <v>88</v>
      </c>
      <c r="U132" s="21">
        <f>K132+P132</f>
        <v>24</v>
      </c>
      <c r="V132" s="21">
        <f t="shared" si="29"/>
        <v>-216</v>
      </c>
      <c r="W132" s="11">
        <f>I132+J132+K132</f>
        <v>247</v>
      </c>
      <c r="X132" s="11">
        <f>N132+O132+P132</f>
        <v>17</v>
      </c>
      <c r="Y132" s="12">
        <f t="shared" si="30"/>
        <v>264</v>
      </c>
      <c r="Z132" s="13">
        <f>I132+K132</f>
        <v>168</v>
      </c>
      <c r="AA132" s="13">
        <f>N132+P132</f>
        <v>8</v>
      </c>
      <c r="AB132" s="14">
        <f t="shared" si="31"/>
        <v>176</v>
      </c>
      <c r="AC132" s="35">
        <f>W132/F132</f>
        <v>0.71181556195965423</v>
      </c>
      <c r="AD132" s="35">
        <f>X132/G132</f>
        <v>0.94444444444444442</v>
      </c>
      <c r="AE132" s="15">
        <f>Y132/H132</f>
        <v>0.72328767123287674</v>
      </c>
      <c r="AF132" s="36">
        <f>Z132/F132</f>
        <v>0.48414985590778098</v>
      </c>
      <c r="AG132" s="36">
        <f>AA132/G132</f>
        <v>0.44444444444444442</v>
      </c>
      <c r="AH132" s="15">
        <f>AB132/H132</f>
        <v>0.48219178082191783</v>
      </c>
    </row>
    <row r="133" spans="1:34" x14ac:dyDescent="0.35">
      <c r="A133" s="8">
        <v>130</v>
      </c>
      <c r="B133" s="1" t="s">
        <v>291</v>
      </c>
      <c r="C133" s="1" t="s">
        <v>292</v>
      </c>
      <c r="D133" s="1" t="s">
        <v>15</v>
      </c>
      <c r="E133" s="1" t="s">
        <v>37</v>
      </c>
      <c r="F133" s="9">
        <v>350</v>
      </c>
      <c r="G133" s="9">
        <v>25</v>
      </c>
      <c r="H133" s="10">
        <f t="shared" si="28"/>
        <v>375</v>
      </c>
      <c r="I133" s="17">
        <v>130</v>
      </c>
      <c r="J133" s="17">
        <v>16</v>
      </c>
      <c r="K133" s="17">
        <v>58</v>
      </c>
      <c r="L133" s="17">
        <f t="shared" ref="L133:L158" si="32">I133+J133</f>
        <v>146</v>
      </c>
      <c r="M133" s="18">
        <f t="shared" ref="M133:M158" si="33">K133-J133</f>
        <v>42</v>
      </c>
      <c r="N133" s="19">
        <v>1</v>
      </c>
      <c r="O133" s="19">
        <v>2</v>
      </c>
      <c r="P133" s="19">
        <v>5</v>
      </c>
      <c r="Q133" s="19">
        <f t="shared" ref="Q133:Q158" si="34">N133+O133</f>
        <v>3</v>
      </c>
      <c r="R133" s="20">
        <f t="shared" ref="R133:R158" si="35">P133-O133</f>
        <v>3</v>
      </c>
      <c r="S133" s="21">
        <f t="shared" ref="S133:S158" si="36">L133+Q133</f>
        <v>149</v>
      </c>
      <c r="T133" s="21">
        <f t="shared" ref="T133:T158" si="37">J133+O133</f>
        <v>18</v>
      </c>
      <c r="U133" s="21">
        <f>K133+P133</f>
        <v>63</v>
      </c>
      <c r="V133" s="21">
        <f t="shared" si="29"/>
        <v>-86</v>
      </c>
      <c r="W133" s="11">
        <f>I133+J133+K133</f>
        <v>204</v>
      </c>
      <c r="X133" s="11">
        <f>N133+O133+P133</f>
        <v>8</v>
      </c>
      <c r="Y133" s="12">
        <f t="shared" si="30"/>
        <v>212</v>
      </c>
      <c r="Z133" s="13">
        <f>I133+K133</f>
        <v>188</v>
      </c>
      <c r="AA133" s="13">
        <f>N133+P133</f>
        <v>6</v>
      </c>
      <c r="AB133" s="14">
        <f t="shared" si="31"/>
        <v>194</v>
      </c>
      <c r="AC133" s="35">
        <f>W133/F133</f>
        <v>0.58285714285714285</v>
      </c>
      <c r="AD133" s="35">
        <f>X133/G133</f>
        <v>0.32</v>
      </c>
      <c r="AE133" s="15">
        <f>Y133/H133</f>
        <v>0.56533333333333335</v>
      </c>
      <c r="AF133" s="36">
        <f>Z133/F133</f>
        <v>0.53714285714285714</v>
      </c>
      <c r="AG133" s="36">
        <f>AA133/G133</f>
        <v>0.24</v>
      </c>
      <c r="AH133" s="15">
        <f>AB133/H133</f>
        <v>0.51733333333333331</v>
      </c>
    </row>
    <row r="134" spans="1:34" x14ac:dyDescent="0.35">
      <c r="A134" s="8">
        <v>131</v>
      </c>
      <c r="B134" s="1" t="s">
        <v>293</v>
      </c>
      <c r="C134" s="1" t="s">
        <v>294</v>
      </c>
      <c r="D134" s="1" t="s">
        <v>15</v>
      </c>
      <c r="E134" s="1" t="s">
        <v>58</v>
      </c>
      <c r="F134" s="9">
        <v>375</v>
      </c>
      <c r="G134" s="9">
        <v>53</v>
      </c>
      <c r="H134" s="10">
        <f t="shared" si="28"/>
        <v>428</v>
      </c>
      <c r="I134" s="17">
        <v>211</v>
      </c>
      <c r="J134" s="17">
        <v>62</v>
      </c>
      <c r="K134" s="17">
        <v>32</v>
      </c>
      <c r="L134" s="17">
        <f t="shared" si="32"/>
        <v>273</v>
      </c>
      <c r="M134" s="18">
        <f t="shared" si="33"/>
        <v>-30</v>
      </c>
      <c r="N134" s="19">
        <v>3</v>
      </c>
      <c r="O134" s="19">
        <v>28</v>
      </c>
      <c r="P134" s="19">
        <v>3</v>
      </c>
      <c r="Q134" s="19">
        <f t="shared" si="34"/>
        <v>31</v>
      </c>
      <c r="R134" s="20">
        <f t="shared" si="35"/>
        <v>-25</v>
      </c>
      <c r="S134" s="21">
        <f t="shared" si="36"/>
        <v>304</v>
      </c>
      <c r="T134" s="21">
        <f t="shared" si="37"/>
        <v>90</v>
      </c>
      <c r="U134" s="21">
        <f>K134+P134</f>
        <v>35</v>
      </c>
      <c r="V134" s="21">
        <f t="shared" si="29"/>
        <v>-269</v>
      </c>
      <c r="W134" s="11">
        <f>I134+J134+K134</f>
        <v>305</v>
      </c>
      <c r="X134" s="11">
        <f>N134+O134+P134</f>
        <v>34</v>
      </c>
      <c r="Y134" s="12">
        <f t="shared" si="30"/>
        <v>339</v>
      </c>
      <c r="Z134" s="13">
        <f>I134+K134</f>
        <v>243</v>
      </c>
      <c r="AA134" s="13">
        <f>N134+P134</f>
        <v>6</v>
      </c>
      <c r="AB134" s="14">
        <f t="shared" si="31"/>
        <v>249</v>
      </c>
      <c r="AC134" s="35">
        <f>W134/F134</f>
        <v>0.81333333333333335</v>
      </c>
      <c r="AD134" s="35">
        <f>X134/G134</f>
        <v>0.64150943396226412</v>
      </c>
      <c r="AE134" s="15">
        <f>Y134/H134</f>
        <v>0.79205607476635509</v>
      </c>
      <c r="AF134" s="36">
        <f>Z134/F134</f>
        <v>0.64800000000000002</v>
      </c>
      <c r="AG134" s="36">
        <f>AA134/G134</f>
        <v>0.11320754716981132</v>
      </c>
      <c r="AH134" s="15">
        <f>AB134/H134</f>
        <v>0.58177570093457942</v>
      </c>
    </row>
    <row r="135" spans="1:34" x14ac:dyDescent="0.35">
      <c r="A135" s="8">
        <v>132</v>
      </c>
      <c r="B135" s="1" t="s">
        <v>295</v>
      </c>
      <c r="C135" s="1" t="s">
        <v>296</v>
      </c>
      <c r="D135" s="1" t="s">
        <v>15</v>
      </c>
      <c r="E135" s="1" t="s">
        <v>29</v>
      </c>
      <c r="F135" s="9">
        <v>296</v>
      </c>
      <c r="G135" s="9">
        <v>29</v>
      </c>
      <c r="H135" s="10">
        <f t="shared" si="28"/>
        <v>325</v>
      </c>
      <c r="I135" s="17">
        <v>108</v>
      </c>
      <c r="J135" s="17">
        <v>17</v>
      </c>
      <c r="K135" s="17">
        <v>52</v>
      </c>
      <c r="L135" s="17">
        <f t="shared" si="32"/>
        <v>125</v>
      </c>
      <c r="M135" s="18">
        <f t="shared" si="33"/>
        <v>35</v>
      </c>
      <c r="N135" s="19">
        <v>4</v>
      </c>
      <c r="O135" s="19">
        <v>9</v>
      </c>
      <c r="P135" s="19">
        <v>9</v>
      </c>
      <c r="Q135" s="19">
        <f t="shared" si="34"/>
        <v>13</v>
      </c>
      <c r="R135" s="20">
        <f t="shared" si="35"/>
        <v>0</v>
      </c>
      <c r="S135" s="21">
        <f t="shared" si="36"/>
        <v>138</v>
      </c>
      <c r="T135" s="21">
        <f t="shared" si="37"/>
        <v>26</v>
      </c>
      <c r="U135" s="21">
        <f>K135+P135</f>
        <v>61</v>
      </c>
      <c r="V135" s="21">
        <f t="shared" si="29"/>
        <v>-77</v>
      </c>
      <c r="W135" s="11">
        <f>I135+J135+K135</f>
        <v>177</v>
      </c>
      <c r="X135" s="11">
        <f>N135+O135+P135</f>
        <v>22</v>
      </c>
      <c r="Y135" s="12">
        <f t="shared" si="30"/>
        <v>199</v>
      </c>
      <c r="Z135" s="13">
        <f>I135+K135</f>
        <v>160</v>
      </c>
      <c r="AA135" s="13">
        <f>N135+P135</f>
        <v>13</v>
      </c>
      <c r="AB135" s="14">
        <f t="shared" si="31"/>
        <v>173</v>
      </c>
      <c r="AC135" s="35">
        <f>W135/F135</f>
        <v>0.59797297297297303</v>
      </c>
      <c r="AD135" s="35">
        <f>X135/G135</f>
        <v>0.75862068965517238</v>
      </c>
      <c r="AE135" s="15">
        <f>Y135/H135</f>
        <v>0.61230769230769233</v>
      </c>
      <c r="AF135" s="36">
        <f>Z135/F135</f>
        <v>0.54054054054054057</v>
      </c>
      <c r="AG135" s="36">
        <f>AA135/G135</f>
        <v>0.44827586206896552</v>
      </c>
      <c r="AH135" s="15">
        <f>AB135/H135</f>
        <v>0.53230769230769226</v>
      </c>
    </row>
    <row r="136" spans="1:34" x14ac:dyDescent="0.35">
      <c r="A136" s="8">
        <v>133</v>
      </c>
      <c r="B136" s="1" t="s">
        <v>297</v>
      </c>
      <c r="C136" s="1" t="s">
        <v>298</v>
      </c>
      <c r="D136" s="1" t="s">
        <v>61</v>
      </c>
      <c r="E136" s="1" t="s">
        <v>299</v>
      </c>
      <c r="F136" s="9">
        <v>1646</v>
      </c>
      <c r="G136" s="9">
        <v>227</v>
      </c>
      <c r="H136" s="10">
        <f t="shared" si="28"/>
        <v>1873</v>
      </c>
      <c r="I136" s="17">
        <v>853</v>
      </c>
      <c r="J136" s="17">
        <v>100</v>
      </c>
      <c r="K136" s="17">
        <v>201</v>
      </c>
      <c r="L136" s="17">
        <f t="shared" si="32"/>
        <v>953</v>
      </c>
      <c r="M136" s="18">
        <f t="shared" si="33"/>
        <v>101</v>
      </c>
      <c r="N136" s="19">
        <v>41</v>
      </c>
      <c r="O136" s="19">
        <v>79</v>
      </c>
      <c r="P136" s="19">
        <v>80</v>
      </c>
      <c r="Q136" s="19">
        <f t="shared" si="34"/>
        <v>120</v>
      </c>
      <c r="R136" s="20">
        <f t="shared" si="35"/>
        <v>1</v>
      </c>
      <c r="S136" s="21">
        <f t="shared" si="36"/>
        <v>1073</v>
      </c>
      <c r="T136" s="21">
        <f t="shared" si="37"/>
        <v>179</v>
      </c>
      <c r="U136" s="21">
        <f>K136+P136</f>
        <v>281</v>
      </c>
      <c r="V136" s="21">
        <f t="shared" si="29"/>
        <v>-792</v>
      </c>
      <c r="W136" s="11">
        <f>I136+J136+K136</f>
        <v>1154</v>
      </c>
      <c r="X136" s="11">
        <f>N136+O136+P136</f>
        <v>200</v>
      </c>
      <c r="Y136" s="12">
        <f t="shared" si="30"/>
        <v>1354</v>
      </c>
      <c r="Z136" s="13">
        <f>I136+K136</f>
        <v>1054</v>
      </c>
      <c r="AA136" s="13">
        <f>N136+P136</f>
        <v>121</v>
      </c>
      <c r="AB136" s="14">
        <f t="shared" si="31"/>
        <v>1175</v>
      </c>
      <c r="AC136" s="35">
        <f>W136/F136</f>
        <v>0.70109356014580804</v>
      </c>
      <c r="AD136" s="35">
        <f>X136/G136</f>
        <v>0.88105726872246692</v>
      </c>
      <c r="AE136" s="15">
        <f>Y136/H136</f>
        <v>0.72290443139348637</v>
      </c>
      <c r="AF136" s="36">
        <f>Z136/F136</f>
        <v>0.64034021871202917</v>
      </c>
      <c r="AG136" s="36">
        <f>AA136/G136</f>
        <v>0.53303964757709255</v>
      </c>
      <c r="AH136" s="15">
        <f>AB136/H136</f>
        <v>0.62733582487987183</v>
      </c>
    </row>
    <row r="137" spans="1:34" x14ac:dyDescent="0.35">
      <c r="A137" s="8">
        <v>134</v>
      </c>
      <c r="B137" s="1" t="s">
        <v>300</v>
      </c>
      <c r="C137" s="1" t="s">
        <v>301</v>
      </c>
      <c r="D137" s="1" t="s">
        <v>15</v>
      </c>
      <c r="E137" s="1" t="s">
        <v>29</v>
      </c>
      <c r="F137" s="9">
        <v>309</v>
      </c>
      <c r="G137" s="9">
        <v>25</v>
      </c>
      <c r="H137" s="10">
        <f t="shared" si="28"/>
        <v>334</v>
      </c>
      <c r="I137" s="17">
        <v>92</v>
      </c>
      <c r="J137" s="17">
        <v>22</v>
      </c>
      <c r="K137" s="17">
        <v>26</v>
      </c>
      <c r="L137" s="17">
        <f t="shared" si="32"/>
        <v>114</v>
      </c>
      <c r="M137" s="18">
        <f t="shared" si="33"/>
        <v>4</v>
      </c>
      <c r="N137" s="19">
        <v>7</v>
      </c>
      <c r="O137" s="19">
        <v>7</v>
      </c>
      <c r="P137" s="19">
        <v>12</v>
      </c>
      <c r="Q137" s="19">
        <f t="shared" si="34"/>
        <v>14</v>
      </c>
      <c r="R137" s="20">
        <f t="shared" si="35"/>
        <v>5</v>
      </c>
      <c r="S137" s="21">
        <f t="shared" si="36"/>
        <v>128</v>
      </c>
      <c r="T137" s="21">
        <f t="shared" si="37"/>
        <v>29</v>
      </c>
      <c r="U137" s="21">
        <f>K137+P137</f>
        <v>38</v>
      </c>
      <c r="V137" s="21">
        <f t="shared" si="29"/>
        <v>-90</v>
      </c>
      <c r="W137" s="11">
        <f>I137+J137+K137</f>
        <v>140</v>
      </c>
      <c r="X137" s="11">
        <f>N137+O137+P137</f>
        <v>26</v>
      </c>
      <c r="Y137" s="12">
        <f t="shared" si="30"/>
        <v>166</v>
      </c>
      <c r="Z137" s="13">
        <f>I137+K137</f>
        <v>118</v>
      </c>
      <c r="AA137" s="13">
        <f>N137+P137</f>
        <v>19</v>
      </c>
      <c r="AB137" s="14">
        <f t="shared" si="31"/>
        <v>137</v>
      </c>
      <c r="AC137" s="35">
        <f>W137/F137</f>
        <v>0.45307443365695793</v>
      </c>
      <c r="AD137" s="35">
        <f>X137/G137</f>
        <v>1.04</v>
      </c>
      <c r="AE137" s="15">
        <f>Y137/H137</f>
        <v>0.49700598802395207</v>
      </c>
      <c r="AF137" s="36">
        <f>Z137/F137</f>
        <v>0.3818770226537217</v>
      </c>
      <c r="AG137" s="36">
        <f>AA137/G137</f>
        <v>0.76</v>
      </c>
      <c r="AH137" s="15">
        <f>AB137/H137</f>
        <v>0.41017964071856289</v>
      </c>
    </row>
    <row r="138" spans="1:34" x14ac:dyDescent="0.35">
      <c r="A138" s="8">
        <v>135</v>
      </c>
      <c r="B138" s="1" t="s">
        <v>302</v>
      </c>
      <c r="C138" s="1" t="s">
        <v>303</v>
      </c>
      <c r="D138" s="1" t="s">
        <v>15</v>
      </c>
      <c r="E138" s="1" t="s">
        <v>37</v>
      </c>
      <c r="F138" s="9">
        <v>258</v>
      </c>
      <c r="G138" s="9">
        <v>74</v>
      </c>
      <c r="H138" s="10">
        <f t="shared" si="28"/>
        <v>332</v>
      </c>
      <c r="I138" s="17">
        <v>170</v>
      </c>
      <c r="J138" s="17">
        <v>29</v>
      </c>
      <c r="K138" s="17">
        <v>66</v>
      </c>
      <c r="L138" s="17">
        <f t="shared" si="32"/>
        <v>199</v>
      </c>
      <c r="M138" s="18">
        <f t="shared" si="33"/>
        <v>37</v>
      </c>
      <c r="N138" s="19">
        <v>16</v>
      </c>
      <c r="O138" s="19">
        <v>38</v>
      </c>
      <c r="P138" s="19">
        <v>61</v>
      </c>
      <c r="Q138" s="19">
        <f t="shared" si="34"/>
        <v>54</v>
      </c>
      <c r="R138" s="20">
        <f t="shared" si="35"/>
        <v>23</v>
      </c>
      <c r="S138" s="21">
        <f t="shared" si="36"/>
        <v>253</v>
      </c>
      <c r="T138" s="21">
        <f t="shared" si="37"/>
        <v>67</v>
      </c>
      <c r="U138" s="21">
        <f>K138+P138</f>
        <v>127</v>
      </c>
      <c r="V138" s="21">
        <f t="shared" si="29"/>
        <v>-126</v>
      </c>
      <c r="W138" s="11">
        <f>I138+J138+K138</f>
        <v>265</v>
      </c>
      <c r="X138" s="11">
        <f>N138+O138+P138</f>
        <v>115</v>
      </c>
      <c r="Y138" s="12">
        <f t="shared" si="30"/>
        <v>380</v>
      </c>
      <c r="Z138" s="13">
        <f>I138+K138</f>
        <v>236</v>
      </c>
      <c r="AA138" s="13">
        <f>N138+P138</f>
        <v>77</v>
      </c>
      <c r="AB138" s="14">
        <f t="shared" si="31"/>
        <v>313</v>
      </c>
      <c r="AC138" s="35">
        <f>W138/F138</f>
        <v>1.0271317829457365</v>
      </c>
      <c r="AD138" s="35">
        <f>X138/G138</f>
        <v>1.5540540540540539</v>
      </c>
      <c r="AE138" s="15">
        <f>Y138/H138</f>
        <v>1.1445783132530121</v>
      </c>
      <c r="AF138" s="36">
        <f>Z138/F138</f>
        <v>0.9147286821705426</v>
      </c>
      <c r="AG138" s="36">
        <f>AA138/G138</f>
        <v>1.0405405405405406</v>
      </c>
      <c r="AH138" s="15">
        <f>AB138/H138</f>
        <v>0.94277108433734935</v>
      </c>
    </row>
    <row r="139" spans="1:34" x14ac:dyDescent="0.35">
      <c r="A139" s="8">
        <v>136</v>
      </c>
      <c r="B139" s="1" t="s">
        <v>304</v>
      </c>
      <c r="C139" s="1" t="s">
        <v>305</v>
      </c>
      <c r="D139" s="1" t="s">
        <v>15</v>
      </c>
      <c r="E139" s="1" t="s">
        <v>68</v>
      </c>
      <c r="F139" s="9">
        <v>289</v>
      </c>
      <c r="G139" s="9">
        <v>24</v>
      </c>
      <c r="H139" s="10">
        <f t="shared" si="28"/>
        <v>313</v>
      </c>
      <c r="I139" s="17">
        <v>139</v>
      </c>
      <c r="J139" s="17">
        <v>35</v>
      </c>
      <c r="K139" s="17">
        <v>46</v>
      </c>
      <c r="L139" s="17">
        <f t="shared" si="32"/>
        <v>174</v>
      </c>
      <c r="M139" s="18">
        <f t="shared" si="33"/>
        <v>11</v>
      </c>
      <c r="N139" s="19">
        <v>1</v>
      </c>
      <c r="O139" s="19">
        <v>11</v>
      </c>
      <c r="P139" s="19">
        <v>4</v>
      </c>
      <c r="Q139" s="19">
        <f t="shared" si="34"/>
        <v>12</v>
      </c>
      <c r="R139" s="20">
        <f t="shared" si="35"/>
        <v>-7</v>
      </c>
      <c r="S139" s="21">
        <f t="shared" si="36"/>
        <v>186</v>
      </c>
      <c r="T139" s="21">
        <f t="shared" si="37"/>
        <v>46</v>
      </c>
      <c r="U139" s="21">
        <f>K139+P139</f>
        <v>50</v>
      </c>
      <c r="V139" s="21">
        <f t="shared" si="29"/>
        <v>-136</v>
      </c>
      <c r="W139" s="11">
        <f>I139+J139+K139</f>
        <v>220</v>
      </c>
      <c r="X139" s="11">
        <f>N139+O139+P139</f>
        <v>16</v>
      </c>
      <c r="Y139" s="12">
        <f t="shared" si="30"/>
        <v>236</v>
      </c>
      <c r="Z139" s="13">
        <f>I139+K139</f>
        <v>185</v>
      </c>
      <c r="AA139" s="13">
        <f>N139+P139</f>
        <v>5</v>
      </c>
      <c r="AB139" s="14">
        <f t="shared" si="31"/>
        <v>190</v>
      </c>
      <c r="AC139" s="35">
        <f>W139/F139</f>
        <v>0.76124567474048443</v>
      </c>
      <c r="AD139" s="35">
        <f>X139/G139</f>
        <v>0.66666666666666663</v>
      </c>
      <c r="AE139" s="15">
        <f>Y139/H139</f>
        <v>0.7539936102236422</v>
      </c>
      <c r="AF139" s="36">
        <f>Z139/F139</f>
        <v>0.64013840830449831</v>
      </c>
      <c r="AG139" s="36">
        <f>AA139/G139</f>
        <v>0.20833333333333334</v>
      </c>
      <c r="AH139" s="15">
        <f>AB139/H139</f>
        <v>0.60702875399361023</v>
      </c>
    </row>
    <row r="140" spans="1:34" x14ac:dyDescent="0.35">
      <c r="A140" s="8">
        <v>137</v>
      </c>
      <c r="B140" s="1" t="s">
        <v>306</v>
      </c>
      <c r="C140" s="1" t="s">
        <v>307</v>
      </c>
      <c r="D140" s="1" t="s">
        <v>15</v>
      </c>
      <c r="E140" s="1" t="s">
        <v>26</v>
      </c>
      <c r="F140" s="9">
        <v>236</v>
      </c>
      <c r="G140" s="9">
        <v>60</v>
      </c>
      <c r="H140" s="10">
        <f t="shared" si="28"/>
        <v>296</v>
      </c>
      <c r="I140" s="17">
        <v>89</v>
      </c>
      <c r="J140" s="17">
        <v>41</v>
      </c>
      <c r="K140" s="17">
        <v>13</v>
      </c>
      <c r="L140" s="17">
        <f t="shared" si="32"/>
        <v>130</v>
      </c>
      <c r="M140" s="18">
        <f t="shared" si="33"/>
        <v>-28</v>
      </c>
      <c r="N140" s="19">
        <v>1</v>
      </c>
      <c r="O140" s="19">
        <v>19</v>
      </c>
      <c r="P140" s="19">
        <v>1</v>
      </c>
      <c r="Q140" s="19">
        <f t="shared" si="34"/>
        <v>20</v>
      </c>
      <c r="R140" s="20">
        <f t="shared" si="35"/>
        <v>-18</v>
      </c>
      <c r="S140" s="21">
        <f t="shared" si="36"/>
        <v>150</v>
      </c>
      <c r="T140" s="21">
        <f t="shared" si="37"/>
        <v>60</v>
      </c>
      <c r="U140" s="21">
        <f>K140+P140</f>
        <v>14</v>
      </c>
      <c r="V140" s="21">
        <f t="shared" si="29"/>
        <v>-136</v>
      </c>
      <c r="W140" s="11">
        <f>I140+J140+K140</f>
        <v>143</v>
      </c>
      <c r="X140" s="11">
        <f>N140+O140+P140</f>
        <v>21</v>
      </c>
      <c r="Y140" s="12">
        <f t="shared" si="30"/>
        <v>164</v>
      </c>
      <c r="Z140" s="13">
        <f>I140+K140</f>
        <v>102</v>
      </c>
      <c r="AA140" s="13">
        <f>N140+P140</f>
        <v>2</v>
      </c>
      <c r="AB140" s="14">
        <f t="shared" si="31"/>
        <v>104</v>
      </c>
      <c r="AC140" s="35">
        <f>W140/F140</f>
        <v>0.60593220338983056</v>
      </c>
      <c r="AD140" s="35">
        <f>X140/G140</f>
        <v>0.35</v>
      </c>
      <c r="AE140" s="15">
        <f>Y140/H140</f>
        <v>0.55405405405405406</v>
      </c>
      <c r="AF140" s="36">
        <f>Z140/F140</f>
        <v>0.43220338983050849</v>
      </c>
      <c r="AG140" s="36">
        <f>AA140/G140</f>
        <v>3.3333333333333333E-2</v>
      </c>
      <c r="AH140" s="15">
        <f>AB140/H140</f>
        <v>0.35135135135135137</v>
      </c>
    </row>
    <row r="141" spans="1:34" x14ac:dyDescent="0.35">
      <c r="A141" s="8">
        <v>138</v>
      </c>
      <c r="B141" s="1" t="s">
        <v>308</v>
      </c>
      <c r="C141" s="1" t="s">
        <v>309</v>
      </c>
      <c r="D141" s="1" t="s">
        <v>15</v>
      </c>
      <c r="E141" s="1" t="s">
        <v>34</v>
      </c>
      <c r="F141" s="9">
        <v>273</v>
      </c>
      <c r="G141" s="9">
        <v>93</v>
      </c>
      <c r="H141" s="10">
        <f t="shared" si="28"/>
        <v>366</v>
      </c>
      <c r="I141" s="17">
        <v>111</v>
      </c>
      <c r="J141" s="17">
        <v>9</v>
      </c>
      <c r="K141" s="17">
        <v>31</v>
      </c>
      <c r="L141" s="17">
        <f t="shared" si="32"/>
        <v>120</v>
      </c>
      <c r="M141" s="18">
        <f t="shared" si="33"/>
        <v>22</v>
      </c>
      <c r="N141" s="19">
        <v>2</v>
      </c>
      <c r="O141" s="19">
        <v>9</v>
      </c>
      <c r="P141" s="19">
        <v>4</v>
      </c>
      <c r="Q141" s="19">
        <f t="shared" si="34"/>
        <v>11</v>
      </c>
      <c r="R141" s="20">
        <f t="shared" si="35"/>
        <v>-5</v>
      </c>
      <c r="S141" s="21">
        <f t="shared" si="36"/>
        <v>131</v>
      </c>
      <c r="T141" s="21">
        <f t="shared" si="37"/>
        <v>18</v>
      </c>
      <c r="U141" s="21">
        <f>K141+P141</f>
        <v>35</v>
      </c>
      <c r="V141" s="21">
        <f t="shared" si="29"/>
        <v>-96</v>
      </c>
      <c r="W141" s="11">
        <f>I141+J141+K141</f>
        <v>151</v>
      </c>
      <c r="X141" s="11">
        <f>N141+O141+P141</f>
        <v>15</v>
      </c>
      <c r="Y141" s="12">
        <f t="shared" si="30"/>
        <v>166</v>
      </c>
      <c r="Z141" s="13">
        <f>I141+K141</f>
        <v>142</v>
      </c>
      <c r="AA141" s="13">
        <f>N141+P141</f>
        <v>6</v>
      </c>
      <c r="AB141" s="14">
        <f t="shared" si="31"/>
        <v>148</v>
      </c>
      <c r="AC141" s="35">
        <f>W141/F141</f>
        <v>0.55311355311355315</v>
      </c>
      <c r="AD141" s="35">
        <f>X141/G141</f>
        <v>0.16129032258064516</v>
      </c>
      <c r="AE141" s="15">
        <f>Y141/H141</f>
        <v>0.45355191256830601</v>
      </c>
      <c r="AF141" s="36">
        <f>Z141/F141</f>
        <v>0.52014652014652019</v>
      </c>
      <c r="AG141" s="36">
        <f>AA141/G141</f>
        <v>6.4516129032258063E-2</v>
      </c>
      <c r="AH141" s="15">
        <f>AB141/H141</f>
        <v>0.40437158469945356</v>
      </c>
    </row>
    <row r="142" spans="1:34" x14ac:dyDescent="0.35">
      <c r="A142" s="8">
        <v>139</v>
      </c>
      <c r="B142" s="1" t="s">
        <v>310</v>
      </c>
      <c r="C142" s="1" t="s">
        <v>311</v>
      </c>
      <c r="D142" s="1" t="s">
        <v>15</v>
      </c>
      <c r="E142" s="1" t="s">
        <v>16</v>
      </c>
      <c r="F142" s="9">
        <v>397</v>
      </c>
      <c r="G142" s="9">
        <v>16</v>
      </c>
      <c r="H142" s="10">
        <f t="shared" si="28"/>
        <v>413</v>
      </c>
      <c r="I142" s="17">
        <v>138</v>
      </c>
      <c r="J142" s="17">
        <v>28</v>
      </c>
      <c r="K142" s="17">
        <v>72</v>
      </c>
      <c r="L142" s="17">
        <f t="shared" si="32"/>
        <v>166</v>
      </c>
      <c r="M142" s="18">
        <f t="shared" si="33"/>
        <v>44</v>
      </c>
      <c r="N142" s="19">
        <v>1</v>
      </c>
      <c r="O142" s="19">
        <v>4</v>
      </c>
      <c r="P142" s="19">
        <v>4</v>
      </c>
      <c r="Q142" s="19">
        <f t="shared" si="34"/>
        <v>5</v>
      </c>
      <c r="R142" s="20">
        <f t="shared" si="35"/>
        <v>0</v>
      </c>
      <c r="S142" s="21">
        <f t="shared" si="36"/>
        <v>171</v>
      </c>
      <c r="T142" s="21">
        <f t="shared" si="37"/>
        <v>32</v>
      </c>
      <c r="U142" s="21">
        <f>K142+P142</f>
        <v>76</v>
      </c>
      <c r="V142" s="21">
        <f t="shared" si="29"/>
        <v>-95</v>
      </c>
      <c r="W142" s="11">
        <f>I142+J142+K142</f>
        <v>238</v>
      </c>
      <c r="X142" s="11">
        <f>N142+O142+P142</f>
        <v>9</v>
      </c>
      <c r="Y142" s="12">
        <f t="shared" si="30"/>
        <v>247</v>
      </c>
      <c r="Z142" s="13">
        <f>I142+K142</f>
        <v>210</v>
      </c>
      <c r="AA142" s="13">
        <f>N142+P142</f>
        <v>5</v>
      </c>
      <c r="AB142" s="14">
        <f t="shared" si="31"/>
        <v>215</v>
      </c>
      <c r="AC142" s="35">
        <f>W142/F142</f>
        <v>0.59949622166246852</v>
      </c>
      <c r="AD142" s="35">
        <f>X142/G142</f>
        <v>0.5625</v>
      </c>
      <c r="AE142" s="15">
        <f>Y142/H142</f>
        <v>0.59806295399515741</v>
      </c>
      <c r="AF142" s="36">
        <f>Z142/F142</f>
        <v>0.52896725440806047</v>
      </c>
      <c r="AG142" s="36">
        <f>AA142/G142</f>
        <v>0.3125</v>
      </c>
      <c r="AH142" s="15">
        <f>AB142/H142</f>
        <v>0.52058111380145278</v>
      </c>
    </row>
    <row r="143" spans="1:34" x14ac:dyDescent="0.35">
      <c r="A143" s="8">
        <v>140</v>
      </c>
      <c r="B143" s="1" t="s">
        <v>312</v>
      </c>
      <c r="C143" s="1" t="s">
        <v>313</v>
      </c>
      <c r="D143" s="1" t="s">
        <v>15</v>
      </c>
      <c r="E143" s="1" t="s">
        <v>48</v>
      </c>
      <c r="F143" s="9">
        <v>346</v>
      </c>
      <c r="G143" s="9">
        <v>54</v>
      </c>
      <c r="H143" s="10">
        <f t="shared" si="28"/>
        <v>400</v>
      </c>
      <c r="I143" s="17">
        <v>124</v>
      </c>
      <c r="J143" s="17">
        <v>34</v>
      </c>
      <c r="K143" s="17">
        <v>35</v>
      </c>
      <c r="L143" s="17">
        <f t="shared" si="32"/>
        <v>158</v>
      </c>
      <c r="M143" s="18">
        <f t="shared" si="33"/>
        <v>1</v>
      </c>
      <c r="N143" s="19">
        <v>3</v>
      </c>
      <c r="O143" s="19">
        <v>4</v>
      </c>
      <c r="P143" s="19">
        <v>14</v>
      </c>
      <c r="Q143" s="19">
        <f t="shared" si="34"/>
        <v>7</v>
      </c>
      <c r="R143" s="20">
        <f t="shared" si="35"/>
        <v>10</v>
      </c>
      <c r="S143" s="21">
        <f t="shared" si="36"/>
        <v>165</v>
      </c>
      <c r="T143" s="21">
        <f t="shared" si="37"/>
        <v>38</v>
      </c>
      <c r="U143" s="21">
        <f>K143+P143</f>
        <v>49</v>
      </c>
      <c r="V143" s="21">
        <f t="shared" si="29"/>
        <v>-116</v>
      </c>
      <c r="W143" s="11">
        <f>I143+J143+K143</f>
        <v>193</v>
      </c>
      <c r="X143" s="11">
        <f>N143+O143+P143</f>
        <v>21</v>
      </c>
      <c r="Y143" s="12">
        <f t="shared" si="30"/>
        <v>214</v>
      </c>
      <c r="Z143" s="13">
        <f>I143+K143</f>
        <v>159</v>
      </c>
      <c r="AA143" s="13">
        <f>N143+P143</f>
        <v>17</v>
      </c>
      <c r="AB143" s="14">
        <f t="shared" si="31"/>
        <v>176</v>
      </c>
      <c r="AC143" s="35">
        <f>W143/F143</f>
        <v>0.55780346820809246</v>
      </c>
      <c r="AD143" s="35">
        <f>X143/G143</f>
        <v>0.3888888888888889</v>
      </c>
      <c r="AE143" s="15">
        <f>Y143/H143</f>
        <v>0.53500000000000003</v>
      </c>
      <c r="AF143" s="36">
        <f>Z143/F143</f>
        <v>0.45953757225433528</v>
      </c>
      <c r="AG143" s="36">
        <f>AA143/G143</f>
        <v>0.31481481481481483</v>
      </c>
      <c r="AH143" s="15">
        <f>AB143/H143</f>
        <v>0.44</v>
      </c>
    </row>
    <row r="144" spans="1:34" x14ac:dyDescent="0.35">
      <c r="A144" s="8">
        <v>141</v>
      </c>
      <c r="B144" s="1" t="s">
        <v>314</v>
      </c>
      <c r="C144" s="1" t="s">
        <v>315</v>
      </c>
      <c r="D144" s="1" t="s">
        <v>15</v>
      </c>
      <c r="E144" s="1" t="s">
        <v>58</v>
      </c>
      <c r="F144" s="9">
        <v>291</v>
      </c>
      <c r="G144" s="9">
        <v>25</v>
      </c>
      <c r="H144" s="10">
        <f t="shared" si="28"/>
        <v>316</v>
      </c>
      <c r="I144" s="17">
        <v>151</v>
      </c>
      <c r="J144" s="17">
        <v>29</v>
      </c>
      <c r="K144" s="17">
        <v>27</v>
      </c>
      <c r="L144" s="17">
        <f t="shared" si="32"/>
        <v>180</v>
      </c>
      <c r="M144" s="18">
        <f t="shared" si="33"/>
        <v>-2</v>
      </c>
      <c r="N144" s="19">
        <v>12</v>
      </c>
      <c r="O144" s="19">
        <v>7</v>
      </c>
      <c r="P144" s="19">
        <v>17</v>
      </c>
      <c r="Q144" s="19">
        <f t="shared" si="34"/>
        <v>19</v>
      </c>
      <c r="R144" s="20">
        <f t="shared" si="35"/>
        <v>10</v>
      </c>
      <c r="S144" s="21">
        <f t="shared" si="36"/>
        <v>199</v>
      </c>
      <c r="T144" s="21">
        <f t="shared" si="37"/>
        <v>36</v>
      </c>
      <c r="U144" s="21">
        <f>K144+P144</f>
        <v>44</v>
      </c>
      <c r="V144" s="21">
        <f t="shared" si="29"/>
        <v>-155</v>
      </c>
      <c r="W144" s="11">
        <f>I144+J144+K144</f>
        <v>207</v>
      </c>
      <c r="X144" s="11">
        <f>N144+O144+P144</f>
        <v>36</v>
      </c>
      <c r="Y144" s="12">
        <f t="shared" si="30"/>
        <v>243</v>
      </c>
      <c r="Z144" s="13">
        <f>I144+K144</f>
        <v>178</v>
      </c>
      <c r="AA144" s="13">
        <f>N144+P144</f>
        <v>29</v>
      </c>
      <c r="AB144" s="14">
        <f t="shared" si="31"/>
        <v>207</v>
      </c>
      <c r="AC144" s="35">
        <f>W144/F144</f>
        <v>0.71134020618556704</v>
      </c>
      <c r="AD144" s="35">
        <f>X144/G144</f>
        <v>1.44</v>
      </c>
      <c r="AE144" s="15">
        <f>Y144/H144</f>
        <v>0.76898734177215189</v>
      </c>
      <c r="AF144" s="36">
        <f>Z144/F144</f>
        <v>0.61168384879725091</v>
      </c>
      <c r="AG144" s="36">
        <f>AA144/G144</f>
        <v>1.1599999999999999</v>
      </c>
      <c r="AH144" s="15">
        <f>AB144/H144</f>
        <v>0.65506329113924056</v>
      </c>
    </row>
    <row r="145" spans="1:34" x14ac:dyDescent="0.35">
      <c r="A145" s="8">
        <v>142</v>
      </c>
      <c r="B145" s="1" t="s">
        <v>316</v>
      </c>
      <c r="C145" s="1" t="s">
        <v>317</v>
      </c>
      <c r="D145" s="1" t="s">
        <v>15</v>
      </c>
      <c r="E145" s="1" t="s">
        <v>51</v>
      </c>
      <c r="F145" s="9">
        <v>350</v>
      </c>
      <c r="G145" s="9">
        <v>36</v>
      </c>
      <c r="H145" s="10">
        <f t="shared" si="28"/>
        <v>386</v>
      </c>
      <c r="I145" s="17">
        <v>154</v>
      </c>
      <c r="J145" s="17">
        <v>12</v>
      </c>
      <c r="K145" s="17">
        <v>21</v>
      </c>
      <c r="L145" s="17">
        <f t="shared" si="32"/>
        <v>166</v>
      </c>
      <c r="M145" s="18">
        <f t="shared" si="33"/>
        <v>9</v>
      </c>
      <c r="N145" s="19">
        <v>3</v>
      </c>
      <c r="O145" s="19">
        <v>10</v>
      </c>
      <c r="P145" s="19">
        <v>8</v>
      </c>
      <c r="Q145" s="19">
        <f t="shared" si="34"/>
        <v>13</v>
      </c>
      <c r="R145" s="20">
        <f t="shared" si="35"/>
        <v>-2</v>
      </c>
      <c r="S145" s="21">
        <f t="shared" si="36"/>
        <v>179</v>
      </c>
      <c r="T145" s="21">
        <f t="shared" si="37"/>
        <v>22</v>
      </c>
      <c r="U145" s="21">
        <f>K145+P145</f>
        <v>29</v>
      </c>
      <c r="V145" s="21">
        <f t="shared" si="29"/>
        <v>-150</v>
      </c>
      <c r="W145" s="11">
        <f>I145+J145+K145</f>
        <v>187</v>
      </c>
      <c r="X145" s="11">
        <f>N145+O145+P145</f>
        <v>21</v>
      </c>
      <c r="Y145" s="12">
        <f t="shared" si="30"/>
        <v>208</v>
      </c>
      <c r="Z145" s="13">
        <f>I145+K145</f>
        <v>175</v>
      </c>
      <c r="AA145" s="13">
        <f>N145+P145</f>
        <v>11</v>
      </c>
      <c r="AB145" s="14">
        <f t="shared" si="31"/>
        <v>186</v>
      </c>
      <c r="AC145" s="35">
        <f>W145/F145</f>
        <v>0.53428571428571425</v>
      </c>
      <c r="AD145" s="35">
        <f>X145/G145</f>
        <v>0.58333333333333337</v>
      </c>
      <c r="AE145" s="15">
        <f>Y145/H145</f>
        <v>0.53886010362694303</v>
      </c>
      <c r="AF145" s="36">
        <f>Z145/F145</f>
        <v>0.5</v>
      </c>
      <c r="AG145" s="36">
        <f>AA145/G145</f>
        <v>0.30555555555555558</v>
      </c>
      <c r="AH145" s="15">
        <f>AB145/H145</f>
        <v>0.48186528497409326</v>
      </c>
    </row>
    <row r="146" spans="1:34" x14ac:dyDescent="0.35">
      <c r="A146" s="8">
        <v>143</v>
      </c>
      <c r="B146" s="1" t="s">
        <v>318</v>
      </c>
      <c r="C146" s="1" t="s">
        <v>319</v>
      </c>
      <c r="D146" s="1" t="s">
        <v>15</v>
      </c>
      <c r="E146" s="1" t="s">
        <v>93</v>
      </c>
      <c r="F146" s="9">
        <v>389</v>
      </c>
      <c r="G146" s="9">
        <v>54</v>
      </c>
      <c r="H146" s="10">
        <f t="shared" si="28"/>
        <v>443</v>
      </c>
      <c r="I146" s="17">
        <v>156</v>
      </c>
      <c r="J146" s="17">
        <v>80</v>
      </c>
      <c r="K146" s="17">
        <v>23</v>
      </c>
      <c r="L146" s="17">
        <f t="shared" si="32"/>
        <v>236</v>
      </c>
      <c r="M146" s="18">
        <f t="shared" si="33"/>
        <v>-57</v>
      </c>
      <c r="N146" s="19">
        <v>6</v>
      </c>
      <c r="O146" s="19">
        <v>18</v>
      </c>
      <c r="P146" s="19">
        <v>16</v>
      </c>
      <c r="Q146" s="19">
        <f t="shared" si="34"/>
        <v>24</v>
      </c>
      <c r="R146" s="20">
        <f t="shared" si="35"/>
        <v>-2</v>
      </c>
      <c r="S146" s="21">
        <f t="shared" si="36"/>
        <v>260</v>
      </c>
      <c r="T146" s="21">
        <f t="shared" si="37"/>
        <v>98</v>
      </c>
      <c r="U146" s="21">
        <f>K146+P146</f>
        <v>39</v>
      </c>
      <c r="V146" s="21">
        <f t="shared" si="29"/>
        <v>-221</v>
      </c>
      <c r="W146" s="11">
        <f>I146+J146+K146</f>
        <v>259</v>
      </c>
      <c r="X146" s="11">
        <f>N146+O146+P146</f>
        <v>40</v>
      </c>
      <c r="Y146" s="12">
        <f t="shared" si="30"/>
        <v>299</v>
      </c>
      <c r="Z146" s="13">
        <f>I146+K146</f>
        <v>179</v>
      </c>
      <c r="AA146" s="13">
        <f>N146+P146</f>
        <v>22</v>
      </c>
      <c r="AB146" s="14">
        <f t="shared" si="31"/>
        <v>201</v>
      </c>
      <c r="AC146" s="35">
        <f>W146/F146</f>
        <v>0.66580976863753216</v>
      </c>
      <c r="AD146" s="35">
        <f>X146/G146</f>
        <v>0.7407407407407407</v>
      </c>
      <c r="AE146" s="15">
        <f>Y146/H146</f>
        <v>0.67494356659142207</v>
      </c>
      <c r="AF146" s="36">
        <f>Z146/F146</f>
        <v>0.46015424164524421</v>
      </c>
      <c r="AG146" s="36">
        <f>AA146/G146</f>
        <v>0.40740740740740738</v>
      </c>
      <c r="AH146" s="15">
        <f>AB146/H146</f>
        <v>0.45372460496613998</v>
      </c>
    </row>
    <row r="147" spans="1:34" x14ac:dyDescent="0.35">
      <c r="A147" s="8">
        <v>144</v>
      </c>
      <c r="B147" s="1" t="s">
        <v>320</v>
      </c>
      <c r="C147" s="1" t="s">
        <v>321</v>
      </c>
      <c r="D147" s="1" t="s">
        <v>15</v>
      </c>
      <c r="E147" s="1" t="s">
        <v>48</v>
      </c>
      <c r="F147" s="9">
        <v>377</v>
      </c>
      <c r="G147" s="9">
        <v>59</v>
      </c>
      <c r="H147" s="10">
        <f t="shared" si="28"/>
        <v>436</v>
      </c>
      <c r="I147" s="17">
        <v>186</v>
      </c>
      <c r="J147" s="17">
        <v>60</v>
      </c>
      <c r="K147" s="17">
        <v>32</v>
      </c>
      <c r="L147" s="17">
        <f t="shared" si="32"/>
        <v>246</v>
      </c>
      <c r="M147" s="18">
        <f t="shared" si="33"/>
        <v>-28</v>
      </c>
      <c r="N147" s="19">
        <v>4</v>
      </c>
      <c r="O147" s="19">
        <v>9</v>
      </c>
      <c r="P147" s="19">
        <v>8</v>
      </c>
      <c r="Q147" s="19">
        <f t="shared" si="34"/>
        <v>13</v>
      </c>
      <c r="R147" s="20">
        <f t="shared" si="35"/>
        <v>-1</v>
      </c>
      <c r="S147" s="21">
        <f t="shared" si="36"/>
        <v>259</v>
      </c>
      <c r="T147" s="21">
        <f t="shared" si="37"/>
        <v>69</v>
      </c>
      <c r="U147" s="21">
        <f>K147+P147</f>
        <v>40</v>
      </c>
      <c r="V147" s="21">
        <f t="shared" si="29"/>
        <v>-219</v>
      </c>
      <c r="W147" s="11">
        <f>I147+J147+K147</f>
        <v>278</v>
      </c>
      <c r="X147" s="11">
        <f>N147+O147+P147</f>
        <v>21</v>
      </c>
      <c r="Y147" s="12">
        <f t="shared" si="30"/>
        <v>299</v>
      </c>
      <c r="Z147" s="13">
        <f>I147+K147</f>
        <v>218</v>
      </c>
      <c r="AA147" s="13">
        <f>N147+P147</f>
        <v>12</v>
      </c>
      <c r="AB147" s="14">
        <f t="shared" si="31"/>
        <v>230</v>
      </c>
      <c r="AC147" s="35">
        <f>W147/F147</f>
        <v>0.7374005305039788</v>
      </c>
      <c r="AD147" s="35">
        <f>X147/G147</f>
        <v>0.3559322033898305</v>
      </c>
      <c r="AE147" s="15">
        <f>Y147/H147</f>
        <v>0.68577981651376152</v>
      </c>
      <c r="AF147" s="36">
        <f>Z147/F147</f>
        <v>0.57824933687002655</v>
      </c>
      <c r="AG147" s="36">
        <f>AA147/G147</f>
        <v>0.20338983050847459</v>
      </c>
      <c r="AH147" s="15">
        <f>AB147/H147</f>
        <v>0.52752293577981646</v>
      </c>
    </row>
    <row r="148" spans="1:34" x14ac:dyDescent="0.35">
      <c r="A148" s="8">
        <v>145</v>
      </c>
      <c r="B148" s="1" t="s">
        <v>322</v>
      </c>
      <c r="C148" s="1" t="s">
        <v>323</v>
      </c>
      <c r="D148" s="1" t="s">
        <v>15</v>
      </c>
      <c r="E148" s="1" t="s">
        <v>58</v>
      </c>
      <c r="F148" s="9">
        <v>303</v>
      </c>
      <c r="G148" s="9">
        <v>15</v>
      </c>
      <c r="H148" s="10">
        <f t="shared" si="28"/>
        <v>318</v>
      </c>
      <c r="I148" s="17">
        <v>139</v>
      </c>
      <c r="J148" s="17">
        <v>35</v>
      </c>
      <c r="K148" s="17">
        <v>18</v>
      </c>
      <c r="L148" s="17">
        <f t="shared" si="32"/>
        <v>174</v>
      </c>
      <c r="M148" s="18">
        <f t="shared" si="33"/>
        <v>-17</v>
      </c>
      <c r="N148" s="19">
        <v>5</v>
      </c>
      <c r="O148" s="19">
        <v>6</v>
      </c>
      <c r="P148" s="19">
        <v>5</v>
      </c>
      <c r="Q148" s="19">
        <f t="shared" si="34"/>
        <v>11</v>
      </c>
      <c r="R148" s="20">
        <f t="shared" si="35"/>
        <v>-1</v>
      </c>
      <c r="S148" s="21">
        <f t="shared" si="36"/>
        <v>185</v>
      </c>
      <c r="T148" s="21">
        <f t="shared" si="37"/>
        <v>41</v>
      </c>
      <c r="U148" s="21">
        <f>K148+P148</f>
        <v>23</v>
      </c>
      <c r="V148" s="21">
        <f t="shared" si="29"/>
        <v>-162</v>
      </c>
      <c r="W148" s="11">
        <f>I148+J148+K148</f>
        <v>192</v>
      </c>
      <c r="X148" s="11">
        <f>N148+O148+P148</f>
        <v>16</v>
      </c>
      <c r="Y148" s="12">
        <f t="shared" si="30"/>
        <v>208</v>
      </c>
      <c r="Z148" s="13">
        <f>I148+K148</f>
        <v>157</v>
      </c>
      <c r="AA148" s="13">
        <f>N148+P148</f>
        <v>10</v>
      </c>
      <c r="AB148" s="14">
        <f t="shared" si="31"/>
        <v>167</v>
      </c>
      <c r="AC148" s="35">
        <f>W148/F148</f>
        <v>0.63366336633663367</v>
      </c>
      <c r="AD148" s="35">
        <f>X148/G148</f>
        <v>1.0666666666666667</v>
      </c>
      <c r="AE148" s="15">
        <f>Y148/H148</f>
        <v>0.65408805031446537</v>
      </c>
      <c r="AF148" s="36">
        <f>Z148/F148</f>
        <v>0.5181518151815182</v>
      </c>
      <c r="AG148" s="36">
        <f>AA148/G148</f>
        <v>0.66666666666666663</v>
      </c>
      <c r="AH148" s="15">
        <f>AB148/H148</f>
        <v>0.52515723270440251</v>
      </c>
    </row>
    <row r="149" spans="1:34" x14ac:dyDescent="0.35">
      <c r="A149" s="8">
        <v>146</v>
      </c>
      <c r="B149" s="1" t="s">
        <v>324</v>
      </c>
      <c r="C149" s="1" t="s">
        <v>325</v>
      </c>
      <c r="D149" s="1" t="s">
        <v>61</v>
      </c>
      <c r="E149" s="1" t="s">
        <v>16</v>
      </c>
      <c r="F149" s="9">
        <v>1952</v>
      </c>
      <c r="G149" s="9">
        <v>369</v>
      </c>
      <c r="H149" s="10">
        <f t="shared" si="28"/>
        <v>2321</v>
      </c>
      <c r="I149" s="17">
        <v>553</v>
      </c>
      <c r="J149" s="17">
        <v>405</v>
      </c>
      <c r="K149" s="17">
        <v>148</v>
      </c>
      <c r="L149" s="17">
        <f t="shared" si="32"/>
        <v>958</v>
      </c>
      <c r="M149" s="18">
        <f t="shared" si="33"/>
        <v>-257</v>
      </c>
      <c r="N149" s="19">
        <v>22</v>
      </c>
      <c r="O149" s="19">
        <v>81</v>
      </c>
      <c r="P149" s="19">
        <v>40</v>
      </c>
      <c r="Q149" s="19">
        <f t="shared" si="34"/>
        <v>103</v>
      </c>
      <c r="R149" s="20">
        <f t="shared" si="35"/>
        <v>-41</v>
      </c>
      <c r="S149" s="21">
        <f t="shared" si="36"/>
        <v>1061</v>
      </c>
      <c r="T149" s="21">
        <f t="shared" si="37"/>
        <v>486</v>
      </c>
      <c r="U149" s="21">
        <f>K149+P149</f>
        <v>188</v>
      </c>
      <c r="V149" s="21">
        <f t="shared" si="29"/>
        <v>-873</v>
      </c>
      <c r="W149" s="11">
        <f>I149+J149+K149</f>
        <v>1106</v>
      </c>
      <c r="X149" s="11">
        <f>N149+O149+P149</f>
        <v>143</v>
      </c>
      <c r="Y149" s="12">
        <f t="shared" si="30"/>
        <v>1249</v>
      </c>
      <c r="Z149" s="13">
        <f>I149+K149</f>
        <v>701</v>
      </c>
      <c r="AA149" s="13">
        <f>N149+P149</f>
        <v>62</v>
      </c>
      <c r="AB149" s="14">
        <f t="shared" si="31"/>
        <v>763</v>
      </c>
      <c r="AC149" s="35">
        <f>W149/F149</f>
        <v>0.56659836065573765</v>
      </c>
      <c r="AD149" s="35">
        <f>X149/G149</f>
        <v>0.38753387533875339</v>
      </c>
      <c r="AE149" s="15">
        <f>Y149/H149</f>
        <v>0.53813011632916841</v>
      </c>
      <c r="AF149" s="36">
        <f>Z149/F149</f>
        <v>0.35911885245901637</v>
      </c>
      <c r="AG149" s="36">
        <f>AA149/G149</f>
        <v>0.16802168021680217</v>
      </c>
      <c r="AH149" s="15">
        <f>AB149/H149</f>
        <v>0.32873761309780269</v>
      </c>
    </row>
    <row r="150" spans="1:34" x14ac:dyDescent="0.35">
      <c r="A150" s="8">
        <v>147</v>
      </c>
      <c r="B150" s="1" t="s">
        <v>326</v>
      </c>
      <c r="C150" s="1" t="s">
        <v>327</v>
      </c>
      <c r="D150" s="1" t="s">
        <v>15</v>
      </c>
      <c r="E150" s="1" t="s">
        <v>34</v>
      </c>
      <c r="F150" s="9">
        <v>304</v>
      </c>
      <c r="G150" s="9">
        <v>28</v>
      </c>
      <c r="H150" s="10">
        <f t="shared" ref="H150:H158" si="38">F150+G150</f>
        <v>332</v>
      </c>
      <c r="I150" s="17">
        <v>90</v>
      </c>
      <c r="J150" s="17">
        <v>23</v>
      </c>
      <c r="K150" s="17">
        <v>39</v>
      </c>
      <c r="L150" s="17">
        <f t="shared" si="32"/>
        <v>113</v>
      </c>
      <c r="M150" s="18">
        <f t="shared" si="33"/>
        <v>16</v>
      </c>
      <c r="N150" s="19">
        <v>3</v>
      </c>
      <c r="O150" s="19">
        <v>3</v>
      </c>
      <c r="P150" s="19">
        <v>5</v>
      </c>
      <c r="Q150" s="19">
        <f t="shared" si="34"/>
        <v>6</v>
      </c>
      <c r="R150" s="20">
        <f t="shared" si="35"/>
        <v>2</v>
      </c>
      <c r="S150" s="21">
        <f t="shared" si="36"/>
        <v>119</v>
      </c>
      <c r="T150" s="21">
        <f t="shared" si="37"/>
        <v>26</v>
      </c>
      <c r="U150" s="21">
        <f>K150+P150</f>
        <v>44</v>
      </c>
      <c r="V150" s="21">
        <f t="shared" ref="V150:V181" si="39">U150-S150</f>
        <v>-75</v>
      </c>
      <c r="W150" s="11">
        <f>I150+J150+K150</f>
        <v>152</v>
      </c>
      <c r="X150" s="11">
        <f>N150+O150+P150</f>
        <v>11</v>
      </c>
      <c r="Y150" s="12">
        <f t="shared" ref="Y150:Y181" si="40">W150+X150</f>
        <v>163</v>
      </c>
      <c r="Z150" s="13">
        <f>I150+K150</f>
        <v>129</v>
      </c>
      <c r="AA150" s="13">
        <f>N150+P150</f>
        <v>8</v>
      </c>
      <c r="AB150" s="14">
        <f t="shared" ref="AB150:AB181" si="41">Z150+AA150</f>
        <v>137</v>
      </c>
      <c r="AC150" s="35">
        <f>W150/F150</f>
        <v>0.5</v>
      </c>
      <c r="AD150" s="35">
        <f>X150/G150</f>
        <v>0.39285714285714285</v>
      </c>
      <c r="AE150" s="15">
        <f>Y150/H150</f>
        <v>0.49096385542168675</v>
      </c>
      <c r="AF150" s="36">
        <f>Z150/F150</f>
        <v>0.42434210526315791</v>
      </c>
      <c r="AG150" s="36">
        <f>AA150/G150</f>
        <v>0.2857142857142857</v>
      </c>
      <c r="AH150" s="15">
        <f>AB150/H150</f>
        <v>0.41265060240963858</v>
      </c>
    </row>
    <row r="151" spans="1:34" x14ac:dyDescent="0.35">
      <c r="A151" s="8">
        <v>148</v>
      </c>
      <c r="B151" s="1" t="s">
        <v>328</v>
      </c>
      <c r="C151" s="1" t="s">
        <v>329</v>
      </c>
      <c r="D151" s="1" t="s">
        <v>61</v>
      </c>
      <c r="E151" s="1" t="s">
        <v>37</v>
      </c>
      <c r="F151" s="9">
        <v>1888</v>
      </c>
      <c r="G151" s="9">
        <v>216</v>
      </c>
      <c r="H151" s="10">
        <f t="shared" si="38"/>
        <v>2104</v>
      </c>
      <c r="I151" s="17">
        <v>1095</v>
      </c>
      <c r="J151" s="17">
        <v>250</v>
      </c>
      <c r="K151" s="17">
        <v>259</v>
      </c>
      <c r="L151" s="17">
        <f t="shared" si="32"/>
        <v>1345</v>
      </c>
      <c r="M151" s="18">
        <f t="shared" si="33"/>
        <v>9</v>
      </c>
      <c r="N151" s="19">
        <v>39</v>
      </c>
      <c r="O151" s="19">
        <v>109</v>
      </c>
      <c r="P151" s="19">
        <v>100</v>
      </c>
      <c r="Q151" s="19">
        <f t="shared" si="34"/>
        <v>148</v>
      </c>
      <c r="R151" s="20">
        <f t="shared" si="35"/>
        <v>-9</v>
      </c>
      <c r="S151" s="21">
        <f t="shared" si="36"/>
        <v>1493</v>
      </c>
      <c r="T151" s="21">
        <f t="shared" si="37"/>
        <v>359</v>
      </c>
      <c r="U151" s="21">
        <f>K151+P151</f>
        <v>359</v>
      </c>
      <c r="V151" s="21">
        <f t="shared" si="39"/>
        <v>-1134</v>
      </c>
      <c r="W151" s="11">
        <f>I151+J151+K151</f>
        <v>1604</v>
      </c>
      <c r="X151" s="11">
        <f>N151+O151+P151</f>
        <v>248</v>
      </c>
      <c r="Y151" s="12">
        <f t="shared" si="40"/>
        <v>1852</v>
      </c>
      <c r="Z151" s="13">
        <f>I151+K151</f>
        <v>1354</v>
      </c>
      <c r="AA151" s="13">
        <f>N151+P151</f>
        <v>139</v>
      </c>
      <c r="AB151" s="14">
        <f t="shared" si="41"/>
        <v>1493</v>
      </c>
      <c r="AC151" s="35">
        <f>W151/F151</f>
        <v>0.84957627118644063</v>
      </c>
      <c r="AD151" s="35">
        <f>X151/G151</f>
        <v>1.1481481481481481</v>
      </c>
      <c r="AE151" s="15">
        <f>Y151/H151</f>
        <v>0.88022813688212931</v>
      </c>
      <c r="AF151" s="36">
        <f>Z151/F151</f>
        <v>0.71716101694915257</v>
      </c>
      <c r="AG151" s="36">
        <f>AA151/G151</f>
        <v>0.64351851851851849</v>
      </c>
      <c r="AH151" s="15">
        <f>AB151/H151</f>
        <v>0.70960076045627374</v>
      </c>
    </row>
    <row r="152" spans="1:34" x14ac:dyDescent="0.35">
      <c r="A152" s="8">
        <v>149</v>
      </c>
      <c r="B152" s="1" t="s">
        <v>330</v>
      </c>
      <c r="C152" s="1" t="s">
        <v>331</v>
      </c>
      <c r="D152" s="1" t="s">
        <v>15</v>
      </c>
      <c r="E152" s="1" t="s">
        <v>34</v>
      </c>
      <c r="F152" s="9">
        <v>349</v>
      </c>
      <c r="G152" s="9">
        <v>20</v>
      </c>
      <c r="H152" s="10">
        <f t="shared" si="38"/>
        <v>369</v>
      </c>
      <c r="I152" s="17">
        <v>104</v>
      </c>
      <c r="J152" s="17">
        <v>20</v>
      </c>
      <c r="K152" s="17">
        <v>21</v>
      </c>
      <c r="L152" s="17">
        <f t="shared" si="32"/>
        <v>124</v>
      </c>
      <c r="M152" s="18">
        <f t="shared" si="33"/>
        <v>1</v>
      </c>
      <c r="N152" s="19">
        <v>2</v>
      </c>
      <c r="O152" s="19">
        <v>4</v>
      </c>
      <c r="P152" s="19">
        <v>2</v>
      </c>
      <c r="Q152" s="19">
        <f t="shared" si="34"/>
        <v>6</v>
      </c>
      <c r="R152" s="20">
        <f t="shared" si="35"/>
        <v>-2</v>
      </c>
      <c r="S152" s="21">
        <f t="shared" si="36"/>
        <v>130</v>
      </c>
      <c r="T152" s="21">
        <f t="shared" si="37"/>
        <v>24</v>
      </c>
      <c r="U152" s="21">
        <f>K152+P152</f>
        <v>23</v>
      </c>
      <c r="V152" s="21">
        <f t="shared" si="39"/>
        <v>-107</v>
      </c>
      <c r="W152" s="11">
        <f>I152+J152+K152</f>
        <v>145</v>
      </c>
      <c r="X152" s="11">
        <f>N152+O152+P152</f>
        <v>8</v>
      </c>
      <c r="Y152" s="12">
        <f t="shared" si="40"/>
        <v>153</v>
      </c>
      <c r="Z152" s="13">
        <f>I152+K152</f>
        <v>125</v>
      </c>
      <c r="AA152" s="13">
        <f>N152+P152</f>
        <v>4</v>
      </c>
      <c r="AB152" s="14">
        <f t="shared" si="41"/>
        <v>129</v>
      </c>
      <c r="AC152" s="35">
        <f>W152/F152</f>
        <v>0.41547277936962751</v>
      </c>
      <c r="AD152" s="35">
        <f>X152/G152</f>
        <v>0.4</v>
      </c>
      <c r="AE152" s="15">
        <f>Y152/H152</f>
        <v>0.41463414634146339</v>
      </c>
      <c r="AF152" s="36">
        <f>Z152/F152</f>
        <v>0.35816618911174786</v>
      </c>
      <c r="AG152" s="36">
        <f>AA152/G152</f>
        <v>0.2</v>
      </c>
      <c r="AH152" s="15">
        <f>AB152/H152</f>
        <v>0.34959349593495936</v>
      </c>
    </row>
    <row r="153" spans="1:34" x14ac:dyDescent="0.35">
      <c r="A153" s="8">
        <v>150</v>
      </c>
      <c r="B153" s="1" t="s">
        <v>332</v>
      </c>
      <c r="C153" s="1" t="s">
        <v>333</v>
      </c>
      <c r="D153" s="1" t="s">
        <v>15</v>
      </c>
      <c r="E153" s="1" t="s">
        <v>58</v>
      </c>
      <c r="F153" s="9">
        <v>283</v>
      </c>
      <c r="G153" s="9">
        <v>108</v>
      </c>
      <c r="H153" s="10">
        <f t="shared" si="38"/>
        <v>391</v>
      </c>
      <c r="I153" s="17">
        <v>167</v>
      </c>
      <c r="J153" s="17">
        <v>44</v>
      </c>
      <c r="K153" s="17">
        <v>13</v>
      </c>
      <c r="L153" s="17">
        <f t="shared" si="32"/>
        <v>211</v>
      </c>
      <c r="M153" s="18">
        <f t="shared" si="33"/>
        <v>-31</v>
      </c>
      <c r="N153" s="19">
        <v>4</v>
      </c>
      <c r="O153" s="19">
        <v>14</v>
      </c>
      <c r="P153" s="19">
        <v>4</v>
      </c>
      <c r="Q153" s="19">
        <f t="shared" si="34"/>
        <v>18</v>
      </c>
      <c r="R153" s="20">
        <f t="shared" si="35"/>
        <v>-10</v>
      </c>
      <c r="S153" s="21">
        <f t="shared" si="36"/>
        <v>229</v>
      </c>
      <c r="T153" s="21">
        <f t="shared" si="37"/>
        <v>58</v>
      </c>
      <c r="U153" s="21">
        <f>K153+P153</f>
        <v>17</v>
      </c>
      <c r="V153" s="21">
        <f t="shared" si="39"/>
        <v>-212</v>
      </c>
      <c r="W153" s="11">
        <f>I153+J153+K153</f>
        <v>224</v>
      </c>
      <c r="X153" s="11">
        <f>N153+O153+P153</f>
        <v>22</v>
      </c>
      <c r="Y153" s="12">
        <f t="shared" si="40"/>
        <v>246</v>
      </c>
      <c r="Z153" s="13">
        <f>I153+K153</f>
        <v>180</v>
      </c>
      <c r="AA153" s="13">
        <f>N153+P153</f>
        <v>8</v>
      </c>
      <c r="AB153" s="14">
        <f t="shared" si="41"/>
        <v>188</v>
      </c>
      <c r="AC153" s="35">
        <f>W153/F153</f>
        <v>0.79151943462897523</v>
      </c>
      <c r="AD153" s="35">
        <f>X153/G153</f>
        <v>0.20370370370370369</v>
      </c>
      <c r="AE153" s="15">
        <f>Y153/H153</f>
        <v>0.62915601023017897</v>
      </c>
      <c r="AF153" s="36">
        <f>Z153/F153</f>
        <v>0.63604240282685509</v>
      </c>
      <c r="AG153" s="36">
        <f>AA153/G153</f>
        <v>7.407407407407407E-2</v>
      </c>
      <c r="AH153" s="15">
        <f>AB153/H153</f>
        <v>0.48081841432225064</v>
      </c>
    </row>
    <row r="154" spans="1:34" x14ac:dyDescent="0.35">
      <c r="A154" s="8">
        <v>151</v>
      </c>
      <c r="B154" s="1" t="s">
        <v>334</v>
      </c>
      <c r="C154" s="1" t="s">
        <v>335</v>
      </c>
      <c r="D154" s="1" t="s">
        <v>15</v>
      </c>
      <c r="E154" s="1" t="s">
        <v>16</v>
      </c>
      <c r="F154" s="9">
        <v>359</v>
      </c>
      <c r="G154" s="9">
        <v>22</v>
      </c>
      <c r="H154" s="10">
        <f t="shared" si="38"/>
        <v>381</v>
      </c>
      <c r="I154" s="17">
        <v>149</v>
      </c>
      <c r="J154" s="17">
        <v>27</v>
      </c>
      <c r="K154" s="17">
        <v>8</v>
      </c>
      <c r="L154" s="17">
        <f t="shared" si="32"/>
        <v>176</v>
      </c>
      <c r="M154" s="18">
        <f t="shared" si="33"/>
        <v>-19</v>
      </c>
      <c r="N154" s="19">
        <v>4</v>
      </c>
      <c r="O154" s="19">
        <v>6</v>
      </c>
      <c r="P154" s="19">
        <v>7</v>
      </c>
      <c r="Q154" s="19">
        <f t="shared" si="34"/>
        <v>10</v>
      </c>
      <c r="R154" s="20">
        <f t="shared" si="35"/>
        <v>1</v>
      </c>
      <c r="S154" s="21">
        <f t="shared" si="36"/>
        <v>186</v>
      </c>
      <c r="T154" s="21">
        <f t="shared" si="37"/>
        <v>33</v>
      </c>
      <c r="U154" s="21">
        <f>K154+P154</f>
        <v>15</v>
      </c>
      <c r="V154" s="21">
        <f t="shared" si="39"/>
        <v>-171</v>
      </c>
      <c r="W154" s="11">
        <f>I154+J154+K154</f>
        <v>184</v>
      </c>
      <c r="X154" s="11">
        <f>N154+O154+P154</f>
        <v>17</v>
      </c>
      <c r="Y154" s="12">
        <f t="shared" si="40"/>
        <v>201</v>
      </c>
      <c r="Z154" s="13">
        <f>I154+K154</f>
        <v>157</v>
      </c>
      <c r="AA154" s="13">
        <f>N154+P154</f>
        <v>11</v>
      </c>
      <c r="AB154" s="14">
        <f t="shared" si="41"/>
        <v>168</v>
      </c>
      <c r="AC154" s="35">
        <f>W154/F154</f>
        <v>0.51253481894150421</v>
      </c>
      <c r="AD154" s="35">
        <f>X154/G154</f>
        <v>0.77272727272727271</v>
      </c>
      <c r="AE154" s="15">
        <f>Y154/H154</f>
        <v>0.52755905511811019</v>
      </c>
      <c r="AF154" s="36">
        <f>Z154/F154</f>
        <v>0.43732590529247911</v>
      </c>
      <c r="AG154" s="36">
        <f>AA154/G154</f>
        <v>0.5</v>
      </c>
      <c r="AH154" s="15">
        <f>AB154/H154</f>
        <v>0.44094488188976377</v>
      </c>
    </row>
    <row r="155" spans="1:34" x14ac:dyDescent="0.35">
      <c r="A155" s="8">
        <v>152</v>
      </c>
      <c r="B155" s="1" t="s">
        <v>336</v>
      </c>
      <c r="C155" s="1" t="s">
        <v>337</v>
      </c>
      <c r="D155" s="1" t="s">
        <v>61</v>
      </c>
      <c r="E155" s="1" t="s">
        <v>101</v>
      </c>
      <c r="F155" s="9">
        <v>2040</v>
      </c>
      <c r="G155" s="9">
        <v>169</v>
      </c>
      <c r="H155" s="10">
        <f t="shared" si="38"/>
        <v>2209</v>
      </c>
      <c r="I155" s="17">
        <v>759</v>
      </c>
      <c r="J155" s="17">
        <v>193</v>
      </c>
      <c r="K155" s="17">
        <v>63</v>
      </c>
      <c r="L155" s="17">
        <f t="shared" si="32"/>
        <v>952</v>
      </c>
      <c r="M155" s="18">
        <f t="shared" si="33"/>
        <v>-130</v>
      </c>
      <c r="N155" s="19">
        <v>28</v>
      </c>
      <c r="O155" s="19">
        <v>49</v>
      </c>
      <c r="P155" s="19">
        <v>34</v>
      </c>
      <c r="Q155" s="19">
        <f t="shared" si="34"/>
        <v>77</v>
      </c>
      <c r="R155" s="20">
        <f t="shared" si="35"/>
        <v>-15</v>
      </c>
      <c r="S155" s="21">
        <f t="shared" si="36"/>
        <v>1029</v>
      </c>
      <c r="T155" s="21">
        <f t="shared" si="37"/>
        <v>242</v>
      </c>
      <c r="U155" s="21">
        <f>K155+P155</f>
        <v>97</v>
      </c>
      <c r="V155" s="21">
        <f t="shared" si="39"/>
        <v>-932</v>
      </c>
      <c r="W155" s="11">
        <f>I155+J155+K155</f>
        <v>1015</v>
      </c>
      <c r="X155" s="11">
        <f>N155+O155+P155</f>
        <v>111</v>
      </c>
      <c r="Y155" s="12">
        <f t="shared" si="40"/>
        <v>1126</v>
      </c>
      <c r="Z155" s="13">
        <f>I155+K155</f>
        <v>822</v>
      </c>
      <c r="AA155" s="13">
        <f>N155+P155</f>
        <v>62</v>
      </c>
      <c r="AB155" s="14">
        <f t="shared" si="41"/>
        <v>884</v>
      </c>
      <c r="AC155" s="35">
        <f>W155/F155</f>
        <v>0.49754901960784315</v>
      </c>
      <c r="AD155" s="35">
        <f>X155/G155</f>
        <v>0.65680473372781067</v>
      </c>
      <c r="AE155" s="15">
        <f>Y155/H155</f>
        <v>0.50973291081937533</v>
      </c>
      <c r="AF155" s="36">
        <f>Z155/F155</f>
        <v>0.40294117647058825</v>
      </c>
      <c r="AG155" s="36">
        <f>AA155/G155</f>
        <v>0.36686390532544377</v>
      </c>
      <c r="AH155" s="15">
        <f>AB155/H155</f>
        <v>0.40018107741059306</v>
      </c>
    </row>
    <row r="156" spans="1:34" x14ac:dyDescent="0.35">
      <c r="A156" s="8">
        <v>153</v>
      </c>
      <c r="B156" s="1" t="s">
        <v>338</v>
      </c>
      <c r="C156" s="1" t="s">
        <v>339</v>
      </c>
      <c r="D156" s="1" t="s">
        <v>15</v>
      </c>
      <c r="E156" s="1" t="s">
        <v>29</v>
      </c>
      <c r="F156" s="9">
        <v>316</v>
      </c>
      <c r="G156" s="9">
        <v>24</v>
      </c>
      <c r="H156" s="10">
        <f t="shared" si="38"/>
        <v>340</v>
      </c>
      <c r="I156" s="17">
        <v>116</v>
      </c>
      <c r="J156" s="17">
        <v>40</v>
      </c>
      <c r="K156" s="17">
        <v>25</v>
      </c>
      <c r="L156" s="17">
        <f t="shared" si="32"/>
        <v>156</v>
      </c>
      <c r="M156" s="18">
        <f t="shared" si="33"/>
        <v>-15</v>
      </c>
      <c r="N156" s="19">
        <v>2</v>
      </c>
      <c r="O156" s="19">
        <v>7</v>
      </c>
      <c r="P156" s="19">
        <v>9</v>
      </c>
      <c r="Q156" s="19">
        <f t="shared" si="34"/>
        <v>9</v>
      </c>
      <c r="R156" s="20">
        <f t="shared" si="35"/>
        <v>2</v>
      </c>
      <c r="S156" s="21">
        <f t="shared" si="36"/>
        <v>165</v>
      </c>
      <c r="T156" s="21">
        <f t="shared" si="37"/>
        <v>47</v>
      </c>
      <c r="U156" s="21">
        <f>K156+P156</f>
        <v>34</v>
      </c>
      <c r="V156" s="21">
        <f t="shared" si="39"/>
        <v>-131</v>
      </c>
      <c r="W156" s="11">
        <f>I156+J156+K156</f>
        <v>181</v>
      </c>
      <c r="X156" s="11">
        <f>N156+O156+P156</f>
        <v>18</v>
      </c>
      <c r="Y156" s="12">
        <f t="shared" si="40"/>
        <v>199</v>
      </c>
      <c r="Z156" s="13">
        <f>I156+K156</f>
        <v>141</v>
      </c>
      <c r="AA156" s="13">
        <f>N156+P156</f>
        <v>11</v>
      </c>
      <c r="AB156" s="14">
        <f t="shared" si="41"/>
        <v>152</v>
      </c>
      <c r="AC156" s="35">
        <f>W156/F156</f>
        <v>0.57278481012658233</v>
      </c>
      <c r="AD156" s="35">
        <f>X156/G156</f>
        <v>0.75</v>
      </c>
      <c r="AE156" s="15">
        <f>Y156/H156</f>
        <v>0.58529411764705885</v>
      </c>
      <c r="AF156" s="36">
        <f>Z156/F156</f>
        <v>0.44620253164556961</v>
      </c>
      <c r="AG156" s="36">
        <f>AA156/G156</f>
        <v>0.45833333333333331</v>
      </c>
      <c r="AH156" s="15">
        <f>AB156/H156</f>
        <v>0.44705882352941179</v>
      </c>
    </row>
    <row r="157" spans="1:34" x14ac:dyDescent="0.35">
      <c r="A157" s="8"/>
      <c r="B157" s="1"/>
      <c r="C157" s="1"/>
      <c r="D157" s="1" t="s">
        <v>15</v>
      </c>
      <c r="E157" s="1" t="s">
        <v>340</v>
      </c>
      <c r="F157" s="9">
        <v>0</v>
      </c>
      <c r="G157" s="9">
        <v>12</v>
      </c>
      <c r="H157" s="10">
        <f t="shared" si="38"/>
        <v>12</v>
      </c>
      <c r="I157" s="17">
        <v>0</v>
      </c>
      <c r="J157" s="17">
        <v>0</v>
      </c>
      <c r="K157" s="17">
        <v>0</v>
      </c>
      <c r="L157" s="17">
        <f t="shared" si="32"/>
        <v>0</v>
      </c>
      <c r="M157" s="18">
        <f t="shared" si="33"/>
        <v>0</v>
      </c>
      <c r="N157" s="19">
        <v>0</v>
      </c>
      <c r="O157" s="19">
        <v>0</v>
      </c>
      <c r="P157" s="19">
        <v>0</v>
      </c>
      <c r="Q157" s="19">
        <f t="shared" si="34"/>
        <v>0</v>
      </c>
      <c r="R157" s="20">
        <f t="shared" si="35"/>
        <v>0</v>
      </c>
      <c r="S157" s="21">
        <f t="shared" si="36"/>
        <v>0</v>
      </c>
      <c r="T157" s="21">
        <f t="shared" si="37"/>
        <v>0</v>
      </c>
      <c r="U157" s="21">
        <f>K157+P157</f>
        <v>0</v>
      </c>
      <c r="V157" s="21">
        <f t="shared" si="39"/>
        <v>0</v>
      </c>
      <c r="W157" s="11">
        <f>I157+J157+K157</f>
        <v>0</v>
      </c>
      <c r="X157" s="11">
        <f>N157+O157+P157</f>
        <v>0</v>
      </c>
      <c r="Y157" s="12">
        <f t="shared" si="40"/>
        <v>0</v>
      </c>
      <c r="Z157" s="13">
        <f>I157+K157</f>
        <v>0</v>
      </c>
      <c r="AA157" s="13">
        <f>N157+P157</f>
        <v>0</v>
      </c>
      <c r="AB157" s="14">
        <f t="shared" si="41"/>
        <v>0</v>
      </c>
      <c r="AC157" s="35"/>
      <c r="AD157" s="35">
        <f>X157/G157</f>
        <v>0</v>
      </c>
      <c r="AE157" s="15">
        <f>Y157/H157</f>
        <v>0</v>
      </c>
      <c r="AF157" s="36"/>
      <c r="AG157" s="36">
        <f>AA157/G157</f>
        <v>0</v>
      </c>
      <c r="AH157" s="15">
        <f>AB157/H157</f>
        <v>0</v>
      </c>
    </row>
    <row r="158" spans="1:34" x14ac:dyDescent="0.35">
      <c r="A158" s="8"/>
      <c r="B158" s="1"/>
      <c r="C158" s="1"/>
      <c r="D158" s="1" t="s">
        <v>61</v>
      </c>
      <c r="E158" s="1" t="s">
        <v>340</v>
      </c>
      <c r="F158" s="9"/>
      <c r="G158" s="9">
        <v>12</v>
      </c>
      <c r="H158" s="10">
        <f t="shared" si="38"/>
        <v>12</v>
      </c>
      <c r="I158" s="17"/>
      <c r="J158" s="17"/>
      <c r="K158" s="17"/>
      <c r="L158" s="17">
        <f t="shared" si="32"/>
        <v>0</v>
      </c>
      <c r="M158" s="18">
        <f t="shared" si="33"/>
        <v>0</v>
      </c>
      <c r="N158" s="19">
        <v>0</v>
      </c>
      <c r="O158" s="19">
        <v>0</v>
      </c>
      <c r="P158" s="19">
        <v>0</v>
      </c>
      <c r="Q158" s="19">
        <f t="shared" si="34"/>
        <v>0</v>
      </c>
      <c r="R158" s="20">
        <f t="shared" si="35"/>
        <v>0</v>
      </c>
      <c r="S158" s="21">
        <f t="shared" si="36"/>
        <v>0</v>
      </c>
      <c r="T158" s="21">
        <f t="shared" si="37"/>
        <v>0</v>
      </c>
      <c r="U158" s="21">
        <f>K158+P158</f>
        <v>0</v>
      </c>
      <c r="V158" s="21">
        <f t="shared" si="39"/>
        <v>0</v>
      </c>
      <c r="W158" s="11"/>
      <c r="X158" s="11">
        <f>N158+O158+P158</f>
        <v>0</v>
      </c>
      <c r="Y158" s="12">
        <f t="shared" si="40"/>
        <v>0</v>
      </c>
      <c r="Z158" s="13"/>
      <c r="AA158" s="13">
        <f>N158+P158</f>
        <v>0</v>
      </c>
      <c r="AB158" s="14">
        <f t="shared" si="41"/>
        <v>0</v>
      </c>
      <c r="AC158" s="35"/>
      <c r="AD158" s="35">
        <f>X158/G158</f>
        <v>0</v>
      </c>
      <c r="AE158" s="15">
        <f>Y158/H158</f>
        <v>0</v>
      </c>
      <c r="AF158" s="36"/>
      <c r="AG158" s="36">
        <f>AA158/G158</f>
        <v>0</v>
      </c>
      <c r="AH158" s="15">
        <f>AB158/H158</f>
        <v>0</v>
      </c>
    </row>
  </sheetData>
  <autoFilter ref="A3:AZ158" xr:uid="{12DA8F7D-8015-475E-8308-4D39ADDC4FBC}"/>
  <mergeCells count="12">
    <mergeCell ref="F1:H1"/>
    <mergeCell ref="AC1:AH1"/>
    <mergeCell ref="AC2:AE2"/>
    <mergeCell ref="AF2:AH2"/>
    <mergeCell ref="I2:M2"/>
    <mergeCell ref="N2:R2"/>
    <mergeCell ref="F2:H2"/>
    <mergeCell ref="W2:Y2"/>
    <mergeCell ref="Z2:AB2"/>
    <mergeCell ref="I1:V1"/>
    <mergeCell ref="S2:V2"/>
    <mergeCell ref="W1:AB1"/>
  </mergeCells>
  <conditionalFormatting sqref="AE4:AE158">
    <cfRule type="cellIs" dxfId="5" priority="2" operator="greaterThan">
      <formula>0.3999999999</formula>
    </cfRule>
  </conditionalFormatting>
  <conditionalFormatting sqref="AH4:AH158">
    <cfRule type="cellIs" dxfId="4" priority="1" operator="greaterThan">
      <formula>0.3999999999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78C4-4B38-4784-B6F8-92A552C68CFE}">
  <sheetPr>
    <tabColor theme="5" tint="-0.249977111117893"/>
  </sheetPr>
  <dimension ref="A1:AH134"/>
  <sheetViews>
    <sheetView topLeftCell="T1" workbookViewId="0">
      <selection activeCell="T26" sqref="A26:XFD26"/>
    </sheetView>
  </sheetViews>
  <sheetFormatPr defaultRowHeight="14.5" x14ac:dyDescent="0.35"/>
  <cols>
    <col min="1" max="1" width="8.7265625" style="16"/>
    <col min="2" max="2" width="33.81640625" bestFit="1" customWidth="1"/>
    <col min="3" max="3" width="34.453125" customWidth="1"/>
    <col min="4" max="4" width="7.36328125" bestFit="1" customWidth="1"/>
    <col min="5" max="5" width="60.36328125" bestFit="1" customWidth="1"/>
    <col min="6" max="8" width="8.7265625" customWidth="1"/>
    <col min="9" max="11" width="11.81640625" style="16" customWidth="1"/>
    <col min="12" max="12" width="15.453125" style="16" bestFit="1" customWidth="1"/>
    <col min="13" max="13" width="21.81640625" style="16" bestFit="1" customWidth="1"/>
    <col min="14" max="16" width="11.81640625" style="16" customWidth="1"/>
    <col min="17" max="17" width="15.453125" style="16" bestFit="1" customWidth="1"/>
    <col min="18" max="18" width="21.81640625" style="16" bestFit="1" customWidth="1"/>
    <col min="19" max="19" width="14.6328125" style="16" bestFit="1" customWidth="1"/>
    <col min="20" max="22" width="11.81640625" style="16" customWidth="1"/>
    <col min="23" max="23" width="11.36328125" bestFit="1" customWidth="1"/>
    <col min="24" max="25" width="8.7265625" customWidth="1"/>
    <col min="26" max="26" width="11.36328125" bestFit="1" customWidth="1"/>
    <col min="27" max="28" width="8.7265625" customWidth="1"/>
    <col min="29" max="29" width="11.36328125" bestFit="1" customWidth="1"/>
    <col min="30" max="31" width="8.7265625" customWidth="1"/>
    <col min="32" max="32" width="11.36328125" bestFit="1" customWidth="1"/>
    <col min="33" max="34" width="8.7265625" customWidth="1"/>
  </cols>
  <sheetData>
    <row r="1" spans="1:34" x14ac:dyDescent="0.35">
      <c r="A1" s="1"/>
      <c r="B1" s="1"/>
      <c r="C1" s="1"/>
      <c r="D1" s="1"/>
      <c r="E1" s="1"/>
      <c r="F1" s="29" t="s">
        <v>0</v>
      </c>
      <c r="G1" s="30"/>
      <c r="H1" s="30"/>
      <c r="I1" s="31" t="s">
        <v>343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25" t="s">
        <v>1</v>
      </c>
      <c r="X1" s="25"/>
      <c r="Y1" s="25"/>
      <c r="Z1" s="25"/>
      <c r="AA1" s="25"/>
      <c r="AB1" s="25"/>
      <c r="AC1" s="34" t="s">
        <v>348</v>
      </c>
      <c r="AD1" s="34"/>
      <c r="AE1" s="34"/>
      <c r="AF1" s="34"/>
      <c r="AG1" s="34"/>
      <c r="AH1" s="34"/>
    </row>
    <row r="2" spans="1:34" x14ac:dyDescent="0.35">
      <c r="A2" s="1"/>
      <c r="B2" s="1"/>
      <c r="C2" s="1"/>
      <c r="D2" s="1"/>
      <c r="E2" s="1"/>
      <c r="F2" s="22" t="s">
        <v>345</v>
      </c>
      <c r="G2" s="22"/>
      <c r="H2" s="22"/>
      <c r="I2" s="23" t="s">
        <v>10</v>
      </c>
      <c r="J2" s="23"/>
      <c r="K2" s="23"/>
      <c r="L2" s="23"/>
      <c r="M2" s="23"/>
      <c r="N2" s="24" t="s">
        <v>11</v>
      </c>
      <c r="O2" s="24"/>
      <c r="P2" s="24"/>
      <c r="Q2" s="24"/>
      <c r="R2" s="24"/>
      <c r="S2" s="26" t="s">
        <v>344</v>
      </c>
      <c r="T2" s="27"/>
      <c r="U2" s="27"/>
      <c r="V2" s="28"/>
      <c r="W2" s="23" t="s">
        <v>3</v>
      </c>
      <c r="X2" s="23"/>
      <c r="Y2" s="23"/>
      <c r="Z2" s="24" t="s">
        <v>4</v>
      </c>
      <c r="AA2" s="24"/>
      <c r="AB2" s="24"/>
      <c r="AC2" s="23" t="s">
        <v>3</v>
      </c>
      <c r="AD2" s="23"/>
      <c r="AE2" s="23"/>
      <c r="AF2" s="24" t="s">
        <v>4</v>
      </c>
      <c r="AG2" s="24"/>
      <c r="AH2" s="24"/>
    </row>
    <row r="3" spans="1:34" x14ac:dyDescent="0.35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  <c r="G3" s="4" t="s">
        <v>11</v>
      </c>
      <c r="H3" s="4" t="s">
        <v>12</v>
      </c>
      <c r="I3" s="5" t="s">
        <v>346</v>
      </c>
      <c r="J3" s="5" t="s">
        <v>2</v>
      </c>
      <c r="K3" s="5" t="s">
        <v>341</v>
      </c>
      <c r="L3" s="5" t="s">
        <v>349</v>
      </c>
      <c r="M3" s="5" t="s">
        <v>347</v>
      </c>
      <c r="N3" s="6" t="s">
        <v>346</v>
      </c>
      <c r="O3" s="6" t="s">
        <v>2</v>
      </c>
      <c r="P3" s="6" t="s">
        <v>341</v>
      </c>
      <c r="Q3" s="6" t="s">
        <v>349</v>
      </c>
      <c r="R3" s="6" t="s">
        <v>347</v>
      </c>
      <c r="S3" s="7" t="s">
        <v>350</v>
      </c>
      <c r="T3" s="7" t="s">
        <v>2</v>
      </c>
      <c r="U3" s="7" t="s">
        <v>341</v>
      </c>
      <c r="V3" s="7" t="s">
        <v>342</v>
      </c>
      <c r="W3" s="5" t="s">
        <v>10</v>
      </c>
      <c r="X3" s="5" t="s">
        <v>11</v>
      </c>
      <c r="Y3" s="5" t="s">
        <v>12</v>
      </c>
      <c r="Z3" s="6" t="s">
        <v>10</v>
      </c>
      <c r="AA3" s="6" t="s">
        <v>11</v>
      </c>
      <c r="AB3" s="6" t="s">
        <v>12</v>
      </c>
      <c r="AC3" s="5" t="s">
        <v>10</v>
      </c>
      <c r="AD3" s="5" t="s">
        <v>11</v>
      </c>
      <c r="AE3" s="5" t="s">
        <v>12</v>
      </c>
      <c r="AF3" s="6" t="s">
        <v>10</v>
      </c>
      <c r="AG3" s="6" t="s">
        <v>11</v>
      </c>
      <c r="AH3" s="6" t="s">
        <v>12</v>
      </c>
    </row>
    <row r="4" spans="1:34" x14ac:dyDescent="0.35">
      <c r="A4" s="8">
        <v>1</v>
      </c>
      <c r="B4" s="1" t="s">
        <v>13</v>
      </c>
      <c r="C4" s="1" t="s">
        <v>14</v>
      </c>
      <c r="D4" s="1" t="s">
        <v>15</v>
      </c>
      <c r="E4" s="1" t="s">
        <v>16</v>
      </c>
      <c r="F4" s="9">
        <v>347</v>
      </c>
      <c r="G4" s="9">
        <v>39</v>
      </c>
      <c r="H4" s="10">
        <f>F4+G4</f>
        <v>386</v>
      </c>
      <c r="I4" s="17">
        <v>74</v>
      </c>
      <c r="J4" s="17">
        <v>78</v>
      </c>
      <c r="K4" s="17">
        <v>14</v>
      </c>
      <c r="L4" s="17">
        <f>I4+J4</f>
        <v>152</v>
      </c>
      <c r="M4" s="18">
        <f>K4-J4</f>
        <v>-64</v>
      </c>
      <c r="N4" s="19">
        <v>1</v>
      </c>
      <c r="O4" s="19">
        <v>17</v>
      </c>
      <c r="P4" s="19">
        <v>7</v>
      </c>
      <c r="Q4" s="19">
        <f>N4+O4</f>
        <v>18</v>
      </c>
      <c r="R4" s="20">
        <f>P4-O4</f>
        <v>-10</v>
      </c>
      <c r="S4" s="21">
        <f>L4+Q4</f>
        <v>170</v>
      </c>
      <c r="T4" s="21">
        <f>J4+O4</f>
        <v>95</v>
      </c>
      <c r="U4" s="21">
        <f>K4+P4</f>
        <v>21</v>
      </c>
      <c r="V4" s="21">
        <f>U4-S4</f>
        <v>-149</v>
      </c>
      <c r="W4" s="11">
        <f>I4+J4+K4</f>
        <v>166</v>
      </c>
      <c r="X4" s="11">
        <f>N4+O4+P4</f>
        <v>25</v>
      </c>
      <c r="Y4" s="12">
        <f>W4+X4</f>
        <v>191</v>
      </c>
      <c r="Z4" s="13">
        <f>I4+K4</f>
        <v>88</v>
      </c>
      <c r="AA4" s="13">
        <f>N4+P4</f>
        <v>8</v>
      </c>
      <c r="AB4" s="14">
        <f>Z4+AA4</f>
        <v>96</v>
      </c>
      <c r="AC4" s="35">
        <f>W4/F4</f>
        <v>0.47838616714697407</v>
      </c>
      <c r="AD4" s="35">
        <f>X4/G4</f>
        <v>0.64102564102564108</v>
      </c>
      <c r="AE4" s="15">
        <f>Y4/H4</f>
        <v>0.49481865284974091</v>
      </c>
      <c r="AF4" s="36">
        <f>Z4/F4</f>
        <v>0.25360230547550433</v>
      </c>
      <c r="AG4" s="36">
        <f>AA4/G4</f>
        <v>0.20512820512820512</v>
      </c>
      <c r="AH4" s="15">
        <f>AB4/H4</f>
        <v>0.24870466321243523</v>
      </c>
    </row>
    <row r="5" spans="1:34" x14ac:dyDescent="0.35">
      <c r="A5" s="8">
        <v>2</v>
      </c>
      <c r="B5" s="1" t="s">
        <v>17</v>
      </c>
      <c r="C5" s="1" t="s">
        <v>18</v>
      </c>
      <c r="D5" s="1" t="s">
        <v>15</v>
      </c>
      <c r="E5" s="1" t="s">
        <v>16</v>
      </c>
      <c r="F5" s="9">
        <v>321</v>
      </c>
      <c r="G5" s="9">
        <v>29</v>
      </c>
      <c r="H5" s="10">
        <f t="shared" ref="H5:H57" si="0">F5+G5</f>
        <v>350</v>
      </c>
      <c r="I5" s="17">
        <v>72</v>
      </c>
      <c r="J5" s="17">
        <v>61</v>
      </c>
      <c r="K5" s="17">
        <v>20</v>
      </c>
      <c r="L5" s="17">
        <f t="shared" ref="L5:L57" si="1">I5+J5</f>
        <v>133</v>
      </c>
      <c r="M5" s="18">
        <f t="shared" ref="M5:M57" si="2">K5-J5</f>
        <v>-41</v>
      </c>
      <c r="N5" s="19">
        <v>0</v>
      </c>
      <c r="O5" s="19">
        <v>6</v>
      </c>
      <c r="P5" s="19">
        <v>0</v>
      </c>
      <c r="Q5" s="19">
        <f t="shared" ref="Q5:Q57" si="3">N5+O5</f>
        <v>6</v>
      </c>
      <c r="R5" s="20">
        <f t="shared" ref="R5:R57" si="4">P5-O5</f>
        <v>-6</v>
      </c>
      <c r="S5" s="21">
        <f t="shared" ref="S5:S57" si="5">L5+Q5</f>
        <v>139</v>
      </c>
      <c r="T5" s="21">
        <f t="shared" ref="T5:T57" si="6">J5+O5</f>
        <v>67</v>
      </c>
      <c r="U5" s="21">
        <f>K5+P5</f>
        <v>20</v>
      </c>
      <c r="V5" s="21">
        <f t="shared" ref="V5:V57" si="7">U5-S5</f>
        <v>-119</v>
      </c>
      <c r="W5" s="11">
        <f>I5+J5+K5</f>
        <v>153</v>
      </c>
      <c r="X5" s="11">
        <f>N5+O5+P5</f>
        <v>6</v>
      </c>
      <c r="Y5" s="12">
        <f t="shared" ref="Y5:Y57" si="8">W5+X5</f>
        <v>159</v>
      </c>
      <c r="Z5" s="13">
        <f>I5+K5</f>
        <v>92</v>
      </c>
      <c r="AA5" s="13">
        <f>N5+P5</f>
        <v>0</v>
      </c>
      <c r="AB5" s="14">
        <f t="shared" ref="AB5:AB57" si="9">Z5+AA5</f>
        <v>92</v>
      </c>
      <c r="AC5" s="35">
        <f>W5/F5</f>
        <v>0.47663551401869159</v>
      </c>
      <c r="AD5" s="35">
        <f>X5/G5</f>
        <v>0.20689655172413793</v>
      </c>
      <c r="AE5" s="15">
        <f>Y5/H5</f>
        <v>0.45428571428571429</v>
      </c>
      <c r="AF5" s="36">
        <f>Z5/F5</f>
        <v>0.28660436137071649</v>
      </c>
      <c r="AG5" s="36">
        <f>AA5/G5</f>
        <v>0</v>
      </c>
      <c r="AH5" s="15">
        <f>AB5/H5</f>
        <v>0.26285714285714284</v>
      </c>
    </row>
    <row r="6" spans="1:34" x14ac:dyDescent="0.35">
      <c r="A6" s="8">
        <v>3</v>
      </c>
      <c r="B6" s="1" t="s">
        <v>19</v>
      </c>
      <c r="C6" s="1" t="s">
        <v>20</v>
      </c>
      <c r="D6" s="1" t="s">
        <v>15</v>
      </c>
      <c r="E6" s="1" t="s">
        <v>21</v>
      </c>
      <c r="F6" s="9">
        <v>308</v>
      </c>
      <c r="G6" s="9">
        <v>14</v>
      </c>
      <c r="H6" s="10">
        <f t="shared" si="0"/>
        <v>322</v>
      </c>
      <c r="I6" s="17">
        <v>188</v>
      </c>
      <c r="J6" s="17">
        <v>20</v>
      </c>
      <c r="K6" s="17">
        <v>21</v>
      </c>
      <c r="L6" s="17">
        <f t="shared" si="1"/>
        <v>208</v>
      </c>
      <c r="M6" s="18">
        <f t="shared" si="2"/>
        <v>1</v>
      </c>
      <c r="N6" s="19">
        <v>1</v>
      </c>
      <c r="O6" s="19">
        <v>3</v>
      </c>
      <c r="P6" s="19">
        <v>2</v>
      </c>
      <c r="Q6" s="19">
        <f t="shared" si="3"/>
        <v>4</v>
      </c>
      <c r="R6" s="20">
        <f t="shared" si="4"/>
        <v>-1</v>
      </c>
      <c r="S6" s="21">
        <f t="shared" si="5"/>
        <v>212</v>
      </c>
      <c r="T6" s="21">
        <f t="shared" si="6"/>
        <v>23</v>
      </c>
      <c r="U6" s="21">
        <f>K6+P6</f>
        <v>23</v>
      </c>
      <c r="V6" s="21">
        <f t="shared" si="7"/>
        <v>-189</v>
      </c>
      <c r="W6" s="11">
        <f>I6+J6+K6</f>
        <v>229</v>
      </c>
      <c r="X6" s="11">
        <f>N6+O6+P6</f>
        <v>6</v>
      </c>
      <c r="Y6" s="12">
        <f t="shared" si="8"/>
        <v>235</v>
      </c>
      <c r="Z6" s="13">
        <f>I6+K6</f>
        <v>209</v>
      </c>
      <c r="AA6" s="13">
        <f>N6+P6</f>
        <v>3</v>
      </c>
      <c r="AB6" s="14">
        <f t="shared" si="9"/>
        <v>212</v>
      </c>
      <c r="AC6" s="35">
        <f>W6/F6</f>
        <v>0.74350649350649356</v>
      </c>
      <c r="AD6" s="35">
        <f>X6/G6</f>
        <v>0.42857142857142855</v>
      </c>
      <c r="AE6" s="15">
        <f>Y6/H6</f>
        <v>0.72981366459627328</v>
      </c>
      <c r="AF6" s="36">
        <f>Z6/F6</f>
        <v>0.6785714285714286</v>
      </c>
      <c r="AG6" s="36">
        <f>AA6/G6</f>
        <v>0.21428571428571427</v>
      </c>
      <c r="AH6" s="15">
        <f>AB6/H6</f>
        <v>0.65838509316770188</v>
      </c>
    </row>
    <row r="7" spans="1:34" x14ac:dyDescent="0.35">
      <c r="A7" s="8">
        <v>4</v>
      </c>
      <c r="B7" s="1" t="s">
        <v>22</v>
      </c>
      <c r="C7" s="1" t="s">
        <v>23</v>
      </c>
      <c r="D7" s="1" t="s">
        <v>15</v>
      </c>
      <c r="E7" s="1" t="s">
        <v>21</v>
      </c>
      <c r="F7" s="9">
        <v>253</v>
      </c>
      <c r="G7" s="9">
        <v>17</v>
      </c>
      <c r="H7" s="10">
        <f t="shared" si="0"/>
        <v>270</v>
      </c>
      <c r="I7" s="17">
        <v>163</v>
      </c>
      <c r="J7" s="17">
        <v>26</v>
      </c>
      <c r="K7" s="17">
        <v>21</v>
      </c>
      <c r="L7" s="17">
        <f t="shared" si="1"/>
        <v>189</v>
      </c>
      <c r="M7" s="18">
        <f t="shared" si="2"/>
        <v>-5</v>
      </c>
      <c r="N7" s="19">
        <v>2</v>
      </c>
      <c r="O7" s="19">
        <v>10</v>
      </c>
      <c r="P7" s="19">
        <v>2</v>
      </c>
      <c r="Q7" s="19">
        <f t="shared" si="3"/>
        <v>12</v>
      </c>
      <c r="R7" s="20">
        <f t="shared" si="4"/>
        <v>-8</v>
      </c>
      <c r="S7" s="21">
        <f t="shared" si="5"/>
        <v>201</v>
      </c>
      <c r="T7" s="21">
        <f t="shared" si="6"/>
        <v>36</v>
      </c>
      <c r="U7" s="21">
        <f>K7+P7</f>
        <v>23</v>
      </c>
      <c r="V7" s="21">
        <f t="shared" si="7"/>
        <v>-178</v>
      </c>
      <c r="W7" s="11">
        <f>I7+J7+K7</f>
        <v>210</v>
      </c>
      <c r="X7" s="11">
        <f>N7+O7+P7</f>
        <v>14</v>
      </c>
      <c r="Y7" s="12">
        <f t="shared" si="8"/>
        <v>224</v>
      </c>
      <c r="Z7" s="13">
        <f>I7+K7</f>
        <v>184</v>
      </c>
      <c r="AA7" s="13">
        <f>N7+P7</f>
        <v>4</v>
      </c>
      <c r="AB7" s="14">
        <f t="shared" si="9"/>
        <v>188</v>
      </c>
      <c r="AC7" s="35">
        <f>W7/F7</f>
        <v>0.83003952569169959</v>
      </c>
      <c r="AD7" s="35">
        <f>X7/G7</f>
        <v>0.82352941176470584</v>
      </c>
      <c r="AE7" s="15">
        <f>Y7/H7</f>
        <v>0.82962962962962961</v>
      </c>
      <c r="AF7" s="36">
        <f>Z7/F7</f>
        <v>0.72727272727272729</v>
      </c>
      <c r="AG7" s="36">
        <f>AA7/G7</f>
        <v>0.23529411764705882</v>
      </c>
      <c r="AH7" s="15">
        <f>AB7/H7</f>
        <v>0.6962962962962963</v>
      </c>
    </row>
    <row r="8" spans="1:34" x14ac:dyDescent="0.35">
      <c r="A8" s="8">
        <v>5</v>
      </c>
      <c r="B8" s="1" t="s">
        <v>24</v>
      </c>
      <c r="C8" s="1" t="s">
        <v>25</v>
      </c>
      <c r="D8" s="1" t="s">
        <v>15</v>
      </c>
      <c r="E8" s="1" t="s">
        <v>26</v>
      </c>
      <c r="F8" s="9">
        <v>284</v>
      </c>
      <c r="G8" s="9">
        <v>15</v>
      </c>
      <c r="H8" s="10">
        <f t="shared" si="0"/>
        <v>299</v>
      </c>
      <c r="I8" s="17">
        <v>124</v>
      </c>
      <c r="J8" s="17">
        <v>16</v>
      </c>
      <c r="K8" s="17">
        <v>17</v>
      </c>
      <c r="L8" s="17">
        <f t="shared" si="1"/>
        <v>140</v>
      </c>
      <c r="M8" s="18">
        <f t="shared" si="2"/>
        <v>1</v>
      </c>
      <c r="N8" s="19">
        <v>1</v>
      </c>
      <c r="O8" s="19">
        <v>2</v>
      </c>
      <c r="P8" s="19">
        <v>3</v>
      </c>
      <c r="Q8" s="19">
        <f t="shared" si="3"/>
        <v>3</v>
      </c>
      <c r="R8" s="20">
        <f t="shared" si="4"/>
        <v>1</v>
      </c>
      <c r="S8" s="21">
        <f t="shared" si="5"/>
        <v>143</v>
      </c>
      <c r="T8" s="21">
        <f t="shared" si="6"/>
        <v>18</v>
      </c>
      <c r="U8" s="21">
        <f>K8+P8</f>
        <v>20</v>
      </c>
      <c r="V8" s="21">
        <f t="shared" si="7"/>
        <v>-123</v>
      </c>
      <c r="W8" s="11">
        <f>I8+J8+K8</f>
        <v>157</v>
      </c>
      <c r="X8" s="11">
        <f>N8+O8+P8</f>
        <v>6</v>
      </c>
      <c r="Y8" s="12">
        <f t="shared" si="8"/>
        <v>163</v>
      </c>
      <c r="Z8" s="13">
        <f>I8+K8</f>
        <v>141</v>
      </c>
      <c r="AA8" s="13">
        <f>N8+P8</f>
        <v>4</v>
      </c>
      <c r="AB8" s="14">
        <f t="shared" si="9"/>
        <v>145</v>
      </c>
      <c r="AC8" s="35">
        <f>W8/F8</f>
        <v>0.55281690140845074</v>
      </c>
      <c r="AD8" s="35">
        <f>X8/G8</f>
        <v>0.4</v>
      </c>
      <c r="AE8" s="15">
        <f>Y8/H8</f>
        <v>0.54515050167224077</v>
      </c>
      <c r="AF8" s="36">
        <f>Z8/F8</f>
        <v>0.49647887323943662</v>
      </c>
      <c r="AG8" s="36">
        <f>AA8/G8</f>
        <v>0.26666666666666666</v>
      </c>
      <c r="AH8" s="15">
        <f>AB8/H8</f>
        <v>0.48494983277591974</v>
      </c>
    </row>
    <row r="9" spans="1:34" x14ac:dyDescent="0.35">
      <c r="A9" s="8">
        <v>6</v>
      </c>
      <c r="B9" s="1" t="s">
        <v>27</v>
      </c>
      <c r="C9" s="1" t="s">
        <v>28</v>
      </c>
      <c r="D9" s="1" t="s">
        <v>15</v>
      </c>
      <c r="E9" s="1" t="s">
        <v>29</v>
      </c>
      <c r="F9" s="9">
        <v>297</v>
      </c>
      <c r="G9" s="9">
        <v>21</v>
      </c>
      <c r="H9" s="10">
        <f t="shared" si="0"/>
        <v>318</v>
      </c>
      <c r="I9" s="17">
        <v>102</v>
      </c>
      <c r="J9" s="17">
        <v>17</v>
      </c>
      <c r="K9" s="17">
        <v>29</v>
      </c>
      <c r="L9" s="17">
        <f t="shared" si="1"/>
        <v>119</v>
      </c>
      <c r="M9" s="18">
        <f t="shared" si="2"/>
        <v>12</v>
      </c>
      <c r="N9" s="19">
        <v>7</v>
      </c>
      <c r="O9" s="19">
        <v>3</v>
      </c>
      <c r="P9" s="19">
        <v>9</v>
      </c>
      <c r="Q9" s="19">
        <f t="shared" si="3"/>
        <v>10</v>
      </c>
      <c r="R9" s="20">
        <f t="shared" si="4"/>
        <v>6</v>
      </c>
      <c r="S9" s="21">
        <f t="shared" si="5"/>
        <v>129</v>
      </c>
      <c r="T9" s="21">
        <f t="shared" si="6"/>
        <v>20</v>
      </c>
      <c r="U9" s="21">
        <f>K9+P9</f>
        <v>38</v>
      </c>
      <c r="V9" s="21">
        <f t="shared" si="7"/>
        <v>-91</v>
      </c>
      <c r="W9" s="11">
        <f>I9+J9+K9</f>
        <v>148</v>
      </c>
      <c r="X9" s="11">
        <f>N9+O9+P9</f>
        <v>19</v>
      </c>
      <c r="Y9" s="12">
        <f t="shared" si="8"/>
        <v>167</v>
      </c>
      <c r="Z9" s="13">
        <f>I9+K9</f>
        <v>131</v>
      </c>
      <c r="AA9" s="13">
        <f>N9+P9</f>
        <v>16</v>
      </c>
      <c r="AB9" s="14">
        <f t="shared" si="9"/>
        <v>147</v>
      </c>
      <c r="AC9" s="35">
        <f>W9/F9</f>
        <v>0.49831649831649832</v>
      </c>
      <c r="AD9" s="35">
        <f>X9/G9</f>
        <v>0.90476190476190477</v>
      </c>
      <c r="AE9" s="15">
        <f>Y9/H9</f>
        <v>0.52515723270440251</v>
      </c>
      <c r="AF9" s="36">
        <f>Z9/F9</f>
        <v>0.44107744107744107</v>
      </c>
      <c r="AG9" s="36">
        <f>AA9/G9</f>
        <v>0.76190476190476186</v>
      </c>
      <c r="AH9" s="15">
        <f>AB9/H9</f>
        <v>0.46226415094339623</v>
      </c>
    </row>
    <row r="10" spans="1:34" x14ac:dyDescent="0.35">
      <c r="A10" s="8">
        <v>7</v>
      </c>
      <c r="B10" s="1" t="s">
        <v>30</v>
      </c>
      <c r="C10" s="1" t="s">
        <v>31</v>
      </c>
      <c r="D10" s="1" t="s">
        <v>15</v>
      </c>
      <c r="E10" s="1" t="s">
        <v>16</v>
      </c>
      <c r="F10" s="9">
        <v>201</v>
      </c>
      <c r="G10" s="9">
        <v>178</v>
      </c>
      <c r="H10" s="10">
        <f t="shared" si="0"/>
        <v>379</v>
      </c>
      <c r="I10" s="17">
        <v>103</v>
      </c>
      <c r="J10" s="17">
        <v>21</v>
      </c>
      <c r="K10" s="17">
        <v>20</v>
      </c>
      <c r="L10" s="17">
        <f t="shared" si="1"/>
        <v>124</v>
      </c>
      <c r="M10" s="18">
        <f t="shared" si="2"/>
        <v>-1</v>
      </c>
      <c r="N10" s="19">
        <v>17</v>
      </c>
      <c r="O10" s="19">
        <v>4</v>
      </c>
      <c r="P10" s="19">
        <v>36</v>
      </c>
      <c r="Q10" s="19">
        <f t="shared" si="3"/>
        <v>21</v>
      </c>
      <c r="R10" s="20">
        <f t="shared" si="4"/>
        <v>32</v>
      </c>
      <c r="S10" s="21">
        <f t="shared" si="5"/>
        <v>145</v>
      </c>
      <c r="T10" s="21">
        <f t="shared" si="6"/>
        <v>25</v>
      </c>
      <c r="U10" s="21">
        <f>K10+P10</f>
        <v>56</v>
      </c>
      <c r="V10" s="21">
        <f t="shared" si="7"/>
        <v>-89</v>
      </c>
      <c r="W10" s="11">
        <f>I10+J10+K10</f>
        <v>144</v>
      </c>
      <c r="X10" s="11">
        <f>N10+O10+P10</f>
        <v>57</v>
      </c>
      <c r="Y10" s="12">
        <f t="shared" si="8"/>
        <v>201</v>
      </c>
      <c r="Z10" s="13">
        <f>I10+K10</f>
        <v>123</v>
      </c>
      <c r="AA10" s="13">
        <f>N10+P10</f>
        <v>53</v>
      </c>
      <c r="AB10" s="14">
        <f t="shared" si="9"/>
        <v>176</v>
      </c>
      <c r="AC10" s="35">
        <f>W10/F10</f>
        <v>0.71641791044776115</v>
      </c>
      <c r="AD10" s="35">
        <f>X10/G10</f>
        <v>0.3202247191011236</v>
      </c>
      <c r="AE10" s="15">
        <f>Y10/H10</f>
        <v>0.53034300791556732</v>
      </c>
      <c r="AF10" s="36">
        <f>Z10/F10</f>
        <v>0.61194029850746268</v>
      </c>
      <c r="AG10" s="36">
        <f>AA10/G10</f>
        <v>0.29775280898876405</v>
      </c>
      <c r="AH10" s="15">
        <f>AB10/H10</f>
        <v>0.46437994722955145</v>
      </c>
    </row>
    <row r="11" spans="1:34" x14ac:dyDescent="0.35">
      <c r="A11" s="8">
        <v>8</v>
      </c>
      <c r="B11" s="1" t="s">
        <v>32</v>
      </c>
      <c r="C11" s="1" t="s">
        <v>33</v>
      </c>
      <c r="D11" s="1" t="s">
        <v>15</v>
      </c>
      <c r="E11" s="1" t="s">
        <v>34</v>
      </c>
      <c r="F11" s="9">
        <v>338</v>
      </c>
      <c r="G11" s="9">
        <v>22</v>
      </c>
      <c r="H11" s="10">
        <f t="shared" si="0"/>
        <v>360</v>
      </c>
      <c r="I11" s="17">
        <v>125</v>
      </c>
      <c r="J11" s="17">
        <v>11</v>
      </c>
      <c r="K11" s="17">
        <v>13</v>
      </c>
      <c r="L11" s="17">
        <f t="shared" si="1"/>
        <v>136</v>
      </c>
      <c r="M11" s="18">
        <f t="shared" si="2"/>
        <v>2</v>
      </c>
      <c r="N11" s="19">
        <v>2</v>
      </c>
      <c r="O11" s="19">
        <v>2</v>
      </c>
      <c r="P11" s="19">
        <v>3</v>
      </c>
      <c r="Q11" s="19">
        <f t="shared" si="3"/>
        <v>4</v>
      </c>
      <c r="R11" s="20">
        <f t="shared" si="4"/>
        <v>1</v>
      </c>
      <c r="S11" s="21">
        <f t="shared" si="5"/>
        <v>140</v>
      </c>
      <c r="T11" s="21">
        <f t="shared" si="6"/>
        <v>13</v>
      </c>
      <c r="U11" s="21">
        <f>K11+P11</f>
        <v>16</v>
      </c>
      <c r="V11" s="21">
        <f t="shared" si="7"/>
        <v>-124</v>
      </c>
      <c r="W11" s="11">
        <f>I11+J11+K11</f>
        <v>149</v>
      </c>
      <c r="X11" s="11">
        <f>N11+O11+P11</f>
        <v>7</v>
      </c>
      <c r="Y11" s="12">
        <f t="shared" si="8"/>
        <v>156</v>
      </c>
      <c r="Z11" s="13">
        <f>I11+K11</f>
        <v>138</v>
      </c>
      <c r="AA11" s="13">
        <f>N11+P11</f>
        <v>5</v>
      </c>
      <c r="AB11" s="14">
        <f t="shared" si="9"/>
        <v>143</v>
      </c>
      <c r="AC11" s="35">
        <f>W11/F11</f>
        <v>0.44082840236686388</v>
      </c>
      <c r="AD11" s="35">
        <f>X11/G11</f>
        <v>0.31818181818181818</v>
      </c>
      <c r="AE11" s="15">
        <f>Y11/H11</f>
        <v>0.43333333333333335</v>
      </c>
      <c r="AF11" s="36">
        <f>Z11/F11</f>
        <v>0.40828402366863903</v>
      </c>
      <c r="AG11" s="36">
        <f>AA11/G11</f>
        <v>0.22727272727272727</v>
      </c>
      <c r="AH11" s="15">
        <f>AB11/H11</f>
        <v>0.3972222222222222</v>
      </c>
    </row>
    <row r="12" spans="1:34" x14ac:dyDescent="0.35">
      <c r="A12" s="8">
        <v>9</v>
      </c>
      <c r="B12" s="1" t="s">
        <v>35</v>
      </c>
      <c r="C12" s="1" t="s">
        <v>36</v>
      </c>
      <c r="D12" s="1" t="s">
        <v>15</v>
      </c>
      <c r="E12" s="1" t="s">
        <v>37</v>
      </c>
      <c r="F12" s="9">
        <v>331</v>
      </c>
      <c r="G12" s="9">
        <v>53</v>
      </c>
      <c r="H12" s="10">
        <f t="shared" si="0"/>
        <v>384</v>
      </c>
      <c r="I12" s="17">
        <v>128</v>
      </c>
      <c r="J12" s="17">
        <v>30</v>
      </c>
      <c r="K12" s="17">
        <v>26</v>
      </c>
      <c r="L12" s="17">
        <f t="shared" si="1"/>
        <v>158</v>
      </c>
      <c r="M12" s="18">
        <f t="shared" si="2"/>
        <v>-4</v>
      </c>
      <c r="N12" s="19">
        <v>9</v>
      </c>
      <c r="O12" s="19">
        <v>21</v>
      </c>
      <c r="P12" s="19">
        <v>17</v>
      </c>
      <c r="Q12" s="19">
        <f t="shared" si="3"/>
        <v>30</v>
      </c>
      <c r="R12" s="20">
        <f t="shared" si="4"/>
        <v>-4</v>
      </c>
      <c r="S12" s="21">
        <f t="shared" si="5"/>
        <v>188</v>
      </c>
      <c r="T12" s="21">
        <f t="shared" si="6"/>
        <v>51</v>
      </c>
      <c r="U12" s="21">
        <f>K12+P12</f>
        <v>43</v>
      </c>
      <c r="V12" s="21">
        <f t="shared" si="7"/>
        <v>-145</v>
      </c>
      <c r="W12" s="11">
        <f>I12+J12+K12</f>
        <v>184</v>
      </c>
      <c r="X12" s="11">
        <f>N12+O12+P12</f>
        <v>47</v>
      </c>
      <c r="Y12" s="12">
        <f t="shared" si="8"/>
        <v>231</v>
      </c>
      <c r="Z12" s="13">
        <f>I12+K12</f>
        <v>154</v>
      </c>
      <c r="AA12" s="13">
        <f>N12+P12</f>
        <v>26</v>
      </c>
      <c r="AB12" s="14">
        <f t="shared" si="9"/>
        <v>180</v>
      </c>
      <c r="AC12" s="35">
        <f>W12/F12</f>
        <v>0.5558912386706949</v>
      </c>
      <c r="AD12" s="35">
        <f>X12/G12</f>
        <v>0.8867924528301887</v>
      </c>
      <c r="AE12" s="15">
        <f>Y12/H12</f>
        <v>0.6015625</v>
      </c>
      <c r="AF12" s="36">
        <f>Z12/F12</f>
        <v>0.46525679758308158</v>
      </c>
      <c r="AG12" s="36">
        <f>AA12/G12</f>
        <v>0.49056603773584906</v>
      </c>
      <c r="AH12" s="15">
        <f>AB12/H12</f>
        <v>0.46875</v>
      </c>
    </row>
    <row r="13" spans="1:34" x14ac:dyDescent="0.35">
      <c r="A13" s="8">
        <v>10</v>
      </c>
      <c r="B13" s="1" t="s">
        <v>38</v>
      </c>
      <c r="C13" s="1" t="s">
        <v>39</v>
      </c>
      <c r="D13" s="1" t="s">
        <v>15</v>
      </c>
      <c r="E13" s="1" t="s">
        <v>34</v>
      </c>
      <c r="F13" s="9">
        <v>356</v>
      </c>
      <c r="G13" s="9">
        <v>16</v>
      </c>
      <c r="H13" s="10">
        <f t="shared" si="0"/>
        <v>372</v>
      </c>
      <c r="I13" s="17">
        <v>159</v>
      </c>
      <c r="J13" s="17">
        <v>36</v>
      </c>
      <c r="K13" s="17">
        <v>64</v>
      </c>
      <c r="L13" s="17">
        <f t="shared" si="1"/>
        <v>195</v>
      </c>
      <c r="M13" s="18">
        <f t="shared" si="2"/>
        <v>28</v>
      </c>
      <c r="N13" s="19">
        <v>0</v>
      </c>
      <c r="O13" s="19">
        <v>1</v>
      </c>
      <c r="P13" s="19">
        <v>10</v>
      </c>
      <c r="Q13" s="19">
        <f t="shared" si="3"/>
        <v>1</v>
      </c>
      <c r="R13" s="20">
        <f t="shared" si="4"/>
        <v>9</v>
      </c>
      <c r="S13" s="21">
        <f t="shared" si="5"/>
        <v>196</v>
      </c>
      <c r="T13" s="21">
        <f t="shared" si="6"/>
        <v>37</v>
      </c>
      <c r="U13" s="21">
        <f>K13+P13</f>
        <v>74</v>
      </c>
      <c r="V13" s="21">
        <f t="shared" si="7"/>
        <v>-122</v>
      </c>
      <c r="W13" s="11">
        <f>I13+J13+K13</f>
        <v>259</v>
      </c>
      <c r="X13" s="11">
        <f>N13+O13+P13</f>
        <v>11</v>
      </c>
      <c r="Y13" s="12">
        <f t="shared" si="8"/>
        <v>270</v>
      </c>
      <c r="Z13" s="13">
        <f>I13+K13</f>
        <v>223</v>
      </c>
      <c r="AA13" s="13">
        <f>N13+P13</f>
        <v>10</v>
      </c>
      <c r="AB13" s="14">
        <f t="shared" si="9"/>
        <v>233</v>
      </c>
      <c r="AC13" s="35">
        <f>W13/F13</f>
        <v>0.72752808988764039</v>
      </c>
      <c r="AD13" s="35">
        <f>X13/G13</f>
        <v>0.6875</v>
      </c>
      <c r="AE13" s="15">
        <f>Y13/H13</f>
        <v>0.72580645161290325</v>
      </c>
      <c r="AF13" s="36">
        <f>Z13/F13</f>
        <v>0.6264044943820225</v>
      </c>
      <c r="AG13" s="36">
        <f>AA13/G13</f>
        <v>0.625</v>
      </c>
      <c r="AH13" s="15">
        <f>AB13/H13</f>
        <v>0.62634408602150538</v>
      </c>
    </row>
    <row r="14" spans="1:34" x14ac:dyDescent="0.35">
      <c r="A14" s="8">
        <v>11</v>
      </c>
      <c r="B14" s="1" t="s">
        <v>40</v>
      </c>
      <c r="C14" s="1" t="s">
        <v>41</v>
      </c>
      <c r="D14" s="1" t="s">
        <v>15</v>
      </c>
      <c r="E14" s="1" t="s">
        <v>37</v>
      </c>
      <c r="F14" s="9">
        <v>306</v>
      </c>
      <c r="G14" s="9">
        <v>55</v>
      </c>
      <c r="H14" s="10">
        <f t="shared" si="0"/>
        <v>361</v>
      </c>
      <c r="I14" s="17">
        <v>114</v>
      </c>
      <c r="J14" s="17">
        <v>24</v>
      </c>
      <c r="K14" s="17">
        <v>24</v>
      </c>
      <c r="L14" s="17">
        <f t="shared" si="1"/>
        <v>138</v>
      </c>
      <c r="M14" s="18">
        <f t="shared" si="2"/>
        <v>0</v>
      </c>
      <c r="N14" s="19">
        <v>4</v>
      </c>
      <c r="O14" s="19">
        <v>21</v>
      </c>
      <c r="P14" s="19">
        <v>5</v>
      </c>
      <c r="Q14" s="19">
        <f t="shared" si="3"/>
        <v>25</v>
      </c>
      <c r="R14" s="20">
        <f t="shared" si="4"/>
        <v>-16</v>
      </c>
      <c r="S14" s="21">
        <f t="shared" si="5"/>
        <v>163</v>
      </c>
      <c r="T14" s="21">
        <f t="shared" si="6"/>
        <v>45</v>
      </c>
      <c r="U14" s="21">
        <f>K14+P14</f>
        <v>29</v>
      </c>
      <c r="V14" s="21">
        <f t="shared" si="7"/>
        <v>-134</v>
      </c>
      <c r="W14" s="11">
        <f>I14+J14+K14</f>
        <v>162</v>
      </c>
      <c r="X14" s="11">
        <f>N14+O14+P14</f>
        <v>30</v>
      </c>
      <c r="Y14" s="12">
        <f t="shared" si="8"/>
        <v>192</v>
      </c>
      <c r="Z14" s="13">
        <f>I14+K14</f>
        <v>138</v>
      </c>
      <c r="AA14" s="13">
        <f>N14+P14</f>
        <v>9</v>
      </c>
      <c r="AB14" s="14">
        <f t="shared" si="9"/>
        <v>147</v>
      </c>
      <c r="AC14" s="35">
        <f>W14/F14</f>
        <v>0.52941176470588236</v>
      </c>
      <c r="AD14" s="35">
        <f>X14/G14</f>
        <v>0.54545454545454541</v>
      </c>
      <c r="AE14" s="15">
        <f>Y14/H14</f>
        <v>0.53185595567867039</v>
      </c>
      <c r="AF14" s="36">
        <f>Z14/F14</f>
        <v>0.45098039215686275</v>
      </c>
      <c r="AG14" s="36">
        <f>AA14/G14</f>
        <v>0.16363636363636364</v>
      </c>
      <c r="AH14" s="15">
        <f>AB14/H14</f>
        <v>0.40720221606648199</v>
      </c>
    </row>
    <row r="15" spans="1:34" x14ac:dyDescent="0.35">
      <c r="A15" s="8">
        <v>12</v>
      </c>
      <c r="B15" s="1" t="s">
        <v>42</v>
      </c>
      <c r="C15" s="1" t="s">
        <v>43</v>
      </c>
      <c r="D15" s="1" t="s">
        <v>15</v>
      </c>
      <c r="E15" s="1" t="s">
        <v>34</v>
      </c>
      <c r="F15" s="9">
        <v>312</v>
      </c>
      <c r="G15" s="9">
        <v>41</v>
      </c>
      <c r="H15" s="10">
        <f t="shared" si="0"/>
        <v>353</v>
      </c>
      <c r="I15" s="17">
        <v>126</v>
      </c>
      <c r="J15" s="17">
        <v>13</v>
      </c>
      <c r="K15" s="17">
        <v>18</v>
      </c>
      <c r="L15" s="17">
        <f t="shared" si="1"/>
        <v>139</v>
      </c>
      <c r="M15" s="18">
        <f t="shared" si="2"/>
        <v>5</v>
      </c>
      <c r="N15" s="19">
        <v>4</v>
      </c>
      <c r="O15" s="19">
        <v>5</v>
      </c>
      <c r="P15" s="19">
        <v>4</v>
      </c>
      <c r="Q15" s="19">
        <f t="shared" si="3"/>
        <v>9</v>
      </c>
      <c r="R15" s="20">
        <f t="shared" si="4"/>
        <v>-1</v>
      </c>
      <c r="S15" s="21">
        <f t="shared" si="5"/>
        <v>148</v>
      </c>
      <c r="T15" s="21">
        <f t="shared" si="6"/>
        <v>18</v>
      </c>
      <c r="U15" s="21">
        <f>K15+P15</f>
        <v>22</v>
      </c>
      <c r="V15" s="21">
        <f t="shared" si="7"/>
        <v>-126</v>
      </c>
      <c r="W15" s="11">
        <f>I15+J15+K15</f>
        <v>157</v>
      </c>
      <c r="X15" s="11">
        <f>N15+O15+P15</f>
        <v>13</v>
      </c>
      <c r="Y15" s="12">
        <f t="shared" si="8"/>
        <v>170</v>
      </c>
      <c r="Z15" s="13">
        <f>I15+K15</f>
        <v>144</v>
      </c>
      <c r="AA15" s="13">
        <f>N15+P15</f>
        <v>8</v>
      </c>
      <c r="AB15" s="14">
        <f t="shared" si="9"/>
        <v>152</v>
      </c>
      <c r="AC15" s="35">
        <f>W15/F15</f>
        <v>0.50320512820512819</v>
      </c>
      <c r="AD15" s="35">
        <f>X15/G15</f>
        <v>0.31707317073170732</v>
      </c>
      <c r="AE15" s="15">
        <f>Y15/H15</f>
        <v>0.48158640226628896</v>
      </c>
      <c r="AF15" s="36">
        <f>Z15/F15</f>
        <v>0.46153846153846156</v>
      </c>
      <c r="AG15" s="36">
        <f>AA15/G15</f>
        <v>0.1951219512195122</v>
      </c>
      <c r="AH15" s="15">
        <f>AB15/H15</f>
        <v>0.43059490084985835</v>
      </c>
    </row>
    <row r="16" spans="1:34" x14ac:dyDescent="0.35">
      <c r="A16" s="8">
        <v>13</v>
      </c>
      <c r="B16" s="1" t="s">
        <v>44</v>
      </c>
      <c r="C16" s="1" t="s">
        <v>45</v>
      </c>
      <c r="D16" s="1" t="s">
        <v>15</v>
      </c>
      <c r="E16" s="1" t="s">
        <v>29</v>
      </c>
      <c r="F16" s="9">
        <v>297</v>
      </c>
      <c r="G16" s="9">
        <v>72</v>
      </c>
      <c r="H16" s="10">
        <f t="shared" si="0"/>
        <v>369</v>
      </c>
      <c r="I16" s="17">
        <v>87</v>
      </c>
      <c r="J16" s="17">
        <v>70</v>
      </c>
      <c r="K16" s="17">
        <v>12</v>
      </c>
      <c r="L16" s="17">
        <f t="shared" si="1"/>
        <v>157</v>
      </c>
      <c r="M16" s="18">
        <f t="shared" si="2"/>
        <v>-58</v>
      </c>
      <c r="N16" s="19">
        <v>3</v>
      </c>
      <c r="O16" s="19">
        <v>7</v>
      </c>
      <c r="P16" s="19">
        <v>3</v>
      </c>
      <c r="Q16" s="19">
        <f t="shared" si="3"/>
        <v>10</v>
      </c>
      <c r="R16" s="20">
        <f t="shared" si="4"/>
        <v>-4</v>
      </c>
      <c r="S16" s="21">
        <f t="shared" si="5"/>
        <v>167</v>
      </c>
      <c r="T16" s="21">
        <f t="shared" si="6"/>
        <v>77</v>
      </c>
      <c r="U16" s="21">
        <f>K16+P16</f>
        <v>15</v>
      </c>
      <c r="V16" s="21">
        <f t="shared" si="7"/>
        <v>-152</v>
      </c>
      <c r="W16" s="11">
        <f>I16+J16+K16</f>
        <v>169</v>
      </c>
      <c r="X16" s="11">
        <f>N16+O16+P16</f>
        <v>13</v>
      </c>
      <c r="Y16" s="12">
        <f t="shared" si="8"/>
        <v>182</v>
      </c>
      <c r="Z16" s="13">
        <f>I16+K16</f>
        <v>99</v>
      </c>
      <c r="AA16" s="13">
        <f>N16+P16</f>
        <v>6</v>
      </c>
      <c r="AB16" s="14">
        <f t="shared" si="9"/>
        <v>105</v>
      </c>
      <c r="AC16" s="35">
        <f>W16/F16</f>
        <v>0.56902356902356899</v>
      </c>
      <c r="AD16" s="35">
        <f>X16/G16</f>
        <v>0.18055555555555555</v>
      </c>
      <c r="AE16" s="15">
        <f>Y16/H16</f>
        <v>0.49322493224932251</v>
      </c>
      <c r="AF16" s="36">
        <f>Z16/F16</f>
        <v>0.33333333333333331</v>
      </c>
      <c r="AG16" s="36">
        <f>AA16/G16</f>
        <v>8.3333333333333329E-2</v>
      </c>
      <c r="AH16" s="15">
        <f>AB16/H16</f>
        <v>0.28455284552845528</v>
      </c>
    </row>
    <row r="17" spans="1:34" x14ac:dyDescent="0.35">
      <c r="A17" s="8">
        <v>14</v>
      </c>
      <c r="B17" s="1" t="s">
        <v>46</v>
      </c>
      <c r="C17" s="1" t="s">
        <v>47</v>
      </c>
      <c r="D17" s="1" t="s">
        <v>15</v>
      </c>
      <c r="E17" s="1" t="s">
        <v>48</v>
      </c>
      <c r="F17" s="9">
        <v>334</v>
      </c>
      <c r="G17" s="9">
        <v>54</v>
      </c>
      <c r="H17" s="10">
        <f t="shared" si="0"/>
        <v>388</v>
      </c>
      <c r="I17" s="17">
        <v>143</v>
      </c>
      <c r="J17" s="17">
        <v>69</v>
      </c>
      <c r="K17" s="17">
        <v>46</v>
      </c>
      <c r="L17" s="17">
        <f t="shared" si="1"/>
        <v>212</v>
      </c>
      <c r="M17" s="18">
        <f t="shared" si="2"/>
        <v>-23</v>
      </c>
      <c r="N17" s="19">
        <v>9</v>
      </c>
      <c r="O17" s="19">
        <v>14</v>
      </c>
      <c r="P17" s="19">
        <v>16</v>
      </c>
      <c r="Q17" s="19">
        <f t="shared" si="3"/>
        <v>23</v>
      </c>
      <c r="R17" s="20">
        <f t="shared" si="4"/>
        <v>2</v>
      </c>
      <c r="S17" s="21">
        <f t="shared" si="5"/>
        <v>235</v>
      </c>
      <c r="T17" s="21">
        <f t="shared" si="6"/>
        <v>83</v>
      </c>
      <c r="U17" s="21">
        <f>K17+P17</f>
        <v>62</v>
      </c>
      <c r="V17" s="21">
        <f t="shared" si="7"/>
        <v>-173</v>
      </c>
      <c r="W17" s="11">
        <f>I17+J17+K17</f>
        <v>258</v>
      </c>
      <c r="X17" s="11">
        <f>N17+O17+P17</f>
        <v>39</v>
      </c>
      <c r="Y17" s="12">
        <f t="shared" si="8"/>
        <v>297</v>
      </c>
      <c r="Z17" s="13">
        <f>I17+K17</f>
        <v>189</v>
      </c>
      <c r="AA17" s="13">
        <f>N17+P17</f>
        <v>25</v>
      </c>
      <c r="AB17" s="14">
        <f t="shared" si="9"/>
        <v>214</v>
      </c>
      <c r="AC17" s="35">
        <f>W17/F17</f>
        <v>0.77245508982035926</v>
      </c>
      <c r="AD17" s="35">
        <f>X17/G17</f>
        <v>0.72222222222222221</v>
      </c>
      <c r="AE17" s="15">
        <f>Y17/H17</f>
        <v>0.76546391752577314</v>
      </c>
      <c r="AF17" s="36">
        <f>Z17/F17</f>
        <v>0.56586826347305386</v>
      </c>
      <c r="AG17" s="36">
        <f>AA17/G17</f>
        <v>0.46296296296296297</v>
      </c>
      <c r="AH17" s="15">
        <f>AB17/H17</f>
        <v>0.55154639175257736</v>
      </c>
    </row>
    <row r="18" spans="1:34" x14ac:dyDescent="0.35">
      <c r="A18" s="8">
        <v>15</v>
      </c>
      <c r="B18" s="1" t="s">
        <v>49</v>
      </c>
      <c r="C18" s="1" t="s">
        <v>50</v>
      </c>
      <c r="D18" s="1" t="s">
        <v>15</v>
      </c>
      <c r="E18" s="1" t="s">
        <v>51</v>
      </c>
      <c r="F18" s="9">
        <v>352</v>
      </c>
      <c r="G18" s="9">
        <v>16</v>
      </c>
      <c r="H18" s="10">
        <f t="shared" si="0"/>
        <v>368</v>
      </c>
      <c r="I18" s="17">
        <v>189</v>
      </c>
      <c r="J18" s="17">
        <v>64</v>
      </c>
      <c r="K18" s="17">
        <v>4</v>
      </c>
      <c r="L18" s="17">
        <f t="shared" si="1"/>
        <v>253</v>
      </c>
      <c r="M18" s="18">
        <f t="shared" si="2"/>
        <v>-60</v>
      </c>
      <c r="N18" s="19">
        <v>0</v>
      </c>
      <c r="O18" s="19">
        <v>11</v>
      </c>
      <c r="P18" s="19">
        <v>6</v>
      </c>
      <c r="Q18" s="19">
        <f t="shared" si="3"/>
        <v>11</v>
      </c>
      <c r="R18" s="20">
        <f t="shared" si="4"/>
        <v>-5</v>
      </c>
      <c r="S18" s="21">
        <f t="shared" si="5"/>
        <v>264</v>
      </c>
      <c r="T18" s="21">
        <f t="shared" si="6"/>
        <v>75</v>
      </c>
      <c r="U18" s="21">
        <f>K18+P18</f>
        <v>10</v>
      </c>
      <c r="V18" s="21">
        <f t="shared" si="7"/>
        <v>-254</v>
      </c>
      <c r="W18" s="11">
        <f>I18+J18+K18</f>
        <v>257</v>
      </c>
      <c r="X18" s="11">
        <f>N18+O18+P18</f>
        <v>17</v>
      </c>
      <c r="Y18" s="12">
        <f t="shared" si="8"/>
        <v>274</v>
      </c>
      <c r="Z18" s="13">
        <f>I18+K18</f>
        <v>193</v>
      </c>
      <c r="AA18" s="13">
        <f>N18+P18</f>
        <v>6</v>
      </c>
      <c r="AB18" s="14">
        <f t="shared" si="9"/>
        <v>199</v>
      </c>
      <c r="AC18" s="35">
        <f>W18/F18</f>
        <v>0.73011363636363635</v>
      </c>
      <c r="AD18" s="35">
        <f>X18/G18</f>
        <v>1.0625</v>
      </c>
      <c r="AE18" s="15">
        <f>Y18/H18</f>
        <v>0.74456521739130432</v>
      </c>
      <c r="AF18" s="36">
        <f>Z18/F18</f>
        <v>0.54829545454545459</v>
      </c>
      <c r="AG18" s="36">
        <f>AA18/G18</f>
        <v>0.375</v>
      </c>
      <c r="AH18" s="15">
        <f>AB18/H18</f>
        <v>0.54076086956521741</v>
      </c>
    </row>
    <row r="19" spans="1:34" x14ac:dyDescent="0.35">
      <c r="A19" s="8">
        <v>16</v>
      </c>
      <c r="B19" s="1" t="s">
        <v>52</v>
      </c>
      <c r="C19" s="1" t="s">
        <v>53</v>
      </c>
      <c r="D19" s="1" t="s">
        <v>15</v>
      </c>
      <c r="E19" s="1" t="s">
        <v>48</v>
      </c>
      <c r="F19" s="9">
        <v>395</v>
      </c>
      <c r="G19" s="9">
        <v>35</v>
      </c>
      <c r="H19" s="10">
        <f t="shared" si="0"/>
        <v>430</v>
      </c>
      <c r="I19" s="17">
        <v>134</v>
      </c>
      <c r="J19" s="17">
        <v>50</v>
      </c>
      <c r="K19" s="17">
        <v>18</v>
      </c>
      <c r="L19" s="17">
        <f t="shared" si="1"/>
        <v>184</v>
      </c>
      <c r="M19" s="18">
        <f t="shared" si="2"/>
        <v>-32</v>
      </c>
      <c r="N19" s="19">
        <v>0</v>
      </c>
      <c r="O19" s="19">
        <v>4</v>
      </c>
      <c r="P19" s="19">
        <v>1</v>
      </c>
      <c r="Q19" s="19">
        <f t="shared" si="3"/>
        <v>4</v>
      </c>
      <c r="R19" s="20">
        <f t="shared" si="4"/>
        <v>-3</v>
      </c>
      <c r="S19" s="21">
        <f t="shared" si="5"/>
        <v>188</v>
      </c>
      <c r="T19" s="21">
        <f t="shared" si="6"/>
        <v>54</v>
      </c>
      <c r="U19" s="21">
        <f>K19+P19</f>
        <v>19</v>
      </c>
      <c r="V19" s="21">
        <f t="shared" si="7"/>
        <v>-169</v>
      </c>
      <c r="W19" s="11">
        <f>I19+J19+K19</f>
        <v>202</v>
      </c>
      <c r="X19" s="11">
        <f>N19+O19+P19</f>
        <v>5</v>
      </c>
      <c r="Y19" s="12">
        <f t="shared" si="8"/>
        <v>207</v>
      </c>
      <c r="Z19" s="13">
        <f>I19+K19</f>
        <v>152</v>
      </c>
      <c r="AA19" s="13">
        <f>N19+P19</f>
        <v>1</v>
      </c>
      <c r="AB19" s="14">
        <f t="shared" si="9"/>
        <v>153</v>
      </c>
      <c r="AC19" s="35">
        <f>W19/F19</f>
        <v>0.51139240506329109</v>
      </c>
      <c r="AD19" s="35">
        <f>X19/G19</f>
        <v>0.14285714285714285</v>
      </c>
      <c r="AE19" s="15">
        <f>Y19/H19</f>
        <v>0.4813953488372093</v>
      </c>
      <c r="AF19" s="36">
        <f>Z19/F19</f>
        <v>0.38481012658227848</v>
      </c>
      <c r="AG19" s="36">
        <f>AA19/G19</f>
        <v>2.8571428571428571E-2</v>
      </c>
      <c r="AH19" s="15">
        <f>AB19/H19</f>
        <v>0.35581395348837208</v>
      </c>
    </row>
    <row r="20" spans="1:34" x14ac:dyDescent="0.35">
      <c r="A20" s="8">
        <v>17</v>
      </c>
      <c r="B20" s="1" t="s">
        <v>54</v>
      </c>
      <c r="C20" s="1" t="s">
        <v>55</v>
      </c>
      <c r="D20" s="1" t="s">
        <v>15</v>
      </c>
      <c r="E20" s="1" t="s">
        <v>37</v>
      </c>
      <c r="F20" s="9">
        <v>347</v>
      </c>
      <c r="G20" s="9">
        <v>27</v>
      </c>
      <c r="H20" s="10">
        <f t="shared" si="0"/>
        <v>374</v>
      </c>
      <c r="I20" s="17">
        <v>193</v>
      </c>
      <c r="J20" s="17">
        <v>25</v>
      </c>
      <c r="K20" s="17">
        <v>54</v>
      </c>
      <c r="L20" s="17">
        <f t="shared" si="1"/>
        <v>218</v>
      </c>
      <c r="M20" s="18">
        <f t="shared" si="2"/>
        <v>29</v>
      </c>
      <c r="N20" s="19">
        <v>7</v>
      </c>
      <c r="O20" s="19">
        <v>10</v>
      </c>
      <c r="P20" s="19">
        <v>8</v>
      </c>
      <c r="Q20" s="19">
        <f t="shared" si="3"/>
        <v>17</v>
      </c>
      <c r="R20" s="20">
        <f t="shared" si="4"/>
        <v>-2</v>
      </c>
      <c r="S20" s="21">
        <f t="shared" si="5"/>
        <v>235</v>
      </c>
      <c r="T20" s="21">
        <f t="shared" si="6"/>
        <v>35</v>
      </c>
      <c r="U20" s="21">
        <f>K20+P20</f>
        <v>62</v>
      </c>
      <c r="V20" s="21">
        <f t="shared" si="7"/>
        <v>-173</v>
      </c>
      <c r="W20" s="11">
        <f>I20+J20+K20</f>
        <v>272</v>
      </c>
      <c r="X20" s="11">
        <f>N20+O20+P20</f>
        <v>25</v>
      </c>
      <c r="Y20" s="12">
        <f t="shared" si="8"/>
        <v>297</v>
      </c>
      <c r="Z20" s="13">
        <f>I20+K20</f>
        <v>247</v>
      </c>
      <c r="AA20" s="13">
        <f>N20+P20</f>
        <v>15</v>
      </c>
      <c r="AB20" s="14">
        <f t="shared" si="9"/>
        <v>262</v>
      </c>
      <c r="AC20" s="35">
        <f>W20/F20</f>
        <v>0.78386167146974062</v>
      </c>
      <c r="AD20" s="35">
        <f>X20/G20</f>
        <v>0.92592592592592593</v>
      </c>
      <c r="AE20" s="15">
        <f>Y20/H20</f>
        <v>0.79411764705882348</v>
      </c>
      <c r="AF20" s="36">
        <f>Z20/F20</f>
        <v>0.71181556195965423</v>
      </c>
      <c r="AG20" s="36">
        <f>AA20/G20</f>
        <v>0.55555555555555558</v>
      </c>
      <c r="AH20" s="15">
        <f>AB20/H20</f>
        <v>0.70053475935828879</v>
      </c>
    </row>
    <row r="21" spans="1:34" x14ac:dyDescent="0.35">
      <c r="A21" s="8">
        <v>18</v>
      </c>
      <c r="B21" s="1" t="s">
        <v>56</v>
      </c>
      <c r="C21" s="1" t="s">
        <v>57</v>
      </c>
      <c r="D21" s="1" t="s">
        <v>15</v>
      </c>
      <c r="E21" s="1" t="s">
        <v>58</v>
      </c>
      <c r="F21" s="9">
        <v>244</v>
      </c>
      <c r="G21" s="9">
        <v>44</v>
      </c>
      <c r="H21" s="10">
        <f t="shared" si="0"/>
        <v>288</v>
      </c>
      <c r="I21" s="17">
        <v>189</v>
      </c>
      <c r="J21" s="17">
        <v>35</v>
      </c>
      <c r="K21" s="17">
        <v>1</v>
      </c>
      <c r="L21" s="17">
        <f t="shared" si="1"/>
        <v>224</v>
      </c>
      <c r="M21" s="18">
        <f t="shared" si="2"/>
        <v>-34</v>
      </c>
      <c r="N21" s="19">
        <v>20</v>
      </c>
      <c r="O21" s="19">
        <v>10</v>
      </c>
      <c r="P21" s="19">
        <v>20</v>
      </c>
      <c r="Q21" s="19">
        <f t="shared" si="3"/>
        <v>30</v>
      </c>
      <c r="R21" s="20">
        <f t="shared" si="4"/>
        <v>10</v>
      </c>
      <c r="S21" s="21">
        <f t="shared" si="5"/>
        <v>254</v>
      </c>
      <c r="T21" s="21">
        <f t="shared" si="6"/>
        <v>45</v>
      </c>
      <c r="U21" s="21">
        <f>K21+P21</f>
        <v>21</v>
      </c>
      <c r="V21" s="21">
        <f t="shared" si="7"/>
        <v>-233</v>
      </c>
      <c r="W21" s="11">
        <f>I21+J21+K21</f>
        <v>225</v>
      </c>
      <c r="X21" s="11">
        <f>N21+O21+P21</f>
        <v>50</v>
      </c>
      <c r="Y21" s="12">
        <f t="shared" si="8"/>
        <v>275</v>
      </c>
      <c r="Z21" s="13">
        <f>I21+K21</f>
        <v>190</v>
      </c>
      <c r="AA21" s="13">
        <f>N21+P21</f>
        <v>40</v>
      </c>
      <c r="AB21" s="14">
        <f t="shared" si="9"/>
        <v>230</v>
      </c>
      <c r="AC21" s="35">
        <f>W21/F21</f>
        <v>0.92213114754098358</v>
      </c>
      <c r="AD21" s="35">
        <f>X21/G21</f>
        <v>1.1363636363636365</v>
      </c>
      <c r="AE21" s="15">
        <f>Y21/H21</f>
        <v>0.95486111111111116</v>
      </c>
      <c r="AF21" s="36">
        <f>Z21/F21</f>
        <v>0.77868852459016391</v>
      </c>
      <c r="AG21" s="36">
        <f>AA21/G21</f>
        <v>0.90909090909090906</v>
      </c>
      <c r="AH21" s="15">
        <f>AB21/H21</f>
        <v>0.79861111111111116</v>
      </c>
    </row>
    <row r="22" spans="1:34" x14ac:dyDescent="0.35">
      <c r="A22" s="8">
        <v>19</v>
      </c>
      <c r="B22" s="1" t="s">
        <v>62</v>
      </c>
      <c r="C22" s="1" t="s">
        <v>63</v>
      </c>
      <c r="D22" s="1" t="s">
        <v>15</v>
      </c>
      <c r="E22" s="1" t="s">
        <v>16</v>
      </c>
      <c r="F22" s="9">
        <v>315</v>
      </c>
      <c r="G22" s="9">
        <v>51</v>
      </c>
      <c r="H22" s="10">
        <f t="shared" si="0"/>
        <v>366</v>
      </c>
      <c r="I22" s="17">
        <v>97</v>
      </c>
      <c r="J22" s="17">
        <v>55</v>
      </c>
      <c r="K22" s="17">
        <v>5</v>
      </c>
      <c r="L22" s="17">
        <f t="shared" si="1"/>
        <v>152</v>
      </c>
      <c r="M22" s="18">
        <f t="shared" si="2"/>
        <v>-50</v>
      </c>
      <c r="N22" s="19">
        <v>4</v>
      </c>
      <c r="O22" s="19">
        <v>20</v>
      </c>
      <c r="P22" s="19">
        <v>6</v>
      </c>
      <c r="Q22" s="19">
        <f t="shared" si="3"/>
        <v>24</v>
      </c>
      <c r="R22" s="20">
        <f t="shared" si="4"/>
        <v>-14</v>
      </c>
      <c r="S22" s="21">
        <f t="shared" si="5"/>
        <v>176</v>
      </c>
      <c r="T22" s="21">
        <f t="shared" si="6"/>
        <v>75</v>
      </c>
      <c r="U22" s="21">
        <f>K22+P22</f>
        <v>11</v>
      </c>
      <c r="V22" s="21">
        <f t="shared" si="7"/>
        <v>-165</v>
      </c>
      <c r="W22" s="11">
        <f>I22+J22+K22</f>
        <v>157</v>
      </c>
      <c r="X22" s="11">
        <f>N22+O22+P22</f>
        <v>30</v>
      </c>
      <c r="Y22" s="12">
        <f t="shared" si="8"/>
        <v>187</v>
      </c>
      <c r="Z22" s="13">
        <f>I22+K22</f>
        <v>102</v>
      </c>
      <c r="AA22" s="13">
        <f>N22+P22</f>
        <v>10</v>
      </c>
      <c r="AB22" s="14">
        <f t="shared" si="9"/>
        <v>112</v>
      </c>
      <c r="AC22" s="35">
        <f>W22/F22</f>
        <v>0.49841269841269842</v>
      </c>
      <c r="AD22" s="35">
        <f>X22/G22</f>
        <v>0.58823529411764708</v>
      </c>
      <c r="AE22" s="15">
        <f>Y22/H22</f>
        <v>0.51092896174863389</v>
      </c>
      <c r="AF22" s="36">
        <f>Z22/F22</f>
        <v>0.32380952380952382</v>
      </c>
      <c r="AG22" s="36">
        <f>AA22/G22</f>
        <v>0.19607843137254902</v>
      </c>
      <c r="AH22" s="15">
        <f>AB22/H22</f>
        <v>0.30601092896174864</v>
      </c>
    </row>
    <row r="23" spans="1:34" x14ac:dyDescent="0.35">
      <c r="A23" s="8">
        <v>20</v>
      </c>
      <c r="B23" s="1" t="s">
        <v>64</v>
      </c>
      <c r="C23" s="1" t="s">
        <v>65</v>
      </c>
      <c r="D23" s="1" t="s">
        <v>15</v>
      </c>
      <c r="E23" s="1" t="s">
        <v>51</v>
      </c>
      <c r="F23" s="9">
        <v>400</v>
      </c>
      <c r="G23" s="9">
        <v>20</v>
      </c>
      <c r="H23" s="10">
        <f t="shared" si="0"/>
        <v>420</v>
      </c>
      <c r="I23" s="17">
        <v>109</v>
      </c>
      <c r="J23" s="17">
        <v>76</v>
      </c>
      <c r="K23" s="17">
        <v>23</v>
      </c>
      <c r="L23" s="17">
        <f t="shared" si="1"/>
        <v>185</v>
      </c>
      <c r="M23" s="18">
        <f t="shared" si="2"/>
        <v>-53</v>
      </c>
      <c r="N23" s="19">
        <v>1</v>
      </c>
      <c r="O23" s="19">
        <v>6</v>
      </c>
      <c r="P23" s="19">
        <v>7</v>
      </c>
      <c r="Q23" s="19">
        <f t="shared" si="3"/>
        <v>7</v>
      </c>
      <c r="R23" s="20">
        <f t="shared" si="4"/>
        <v>1</v>
      </c>
      <c r="S23" s="21">
        <f t="shared" si="5"/>
        <v>192</v>
      </c>
      <c r="T23" s="21">
        <f t="shared" si="6"/>
        <v>82</v>
      </c>
      <c r="U23" s="21">
        <f>K23+P23</f>
        <v>30</v>
      </c>
      <c r="V23" s="21">
        <f t="shared" si="7"/>
        <v>-162</v>
      </c>
      <c r="W23" s="11">
        <f>I23+J23+K23</f>
        <v>208</v>
      </c>
      <c r="X23" s="11">
        <f>N23+O23+P23</f>
        <v>14</v>
      </c>
      <c r="Y23" s="12">
        <f t="shared" si="8"/>
        <v>222</v>
      </c>
      <c r="Z23" s="13">
        <f>I23+K23</f>
        <v>132</v>
      </c>
      <c r="AA23" s="13">
        <f>N23+P23</f>
        <v>8</v>
      </c>
      <c r="AB23" s="14">
        <f t="shared" si="9"/>
        <v>140</v>
      </c>
      <c r="AC23" s="35">
        <f>W23/F23</f>
        <v>0.52</v>
      </c>
      <c r="AD23" s="35">
        <f>X23/G23</f>
        <v>0.7</v>
      </c>
      <c r="AE23" s="15">
        <f>Y23/H23</f>
        <v>0.52857142857142858</v>
      </c>
      <c r="AF23" s="36">
        <f>Z23/F23</f>
        <v>0.33</v>
      </c>
      <c r="AG23" s="36">
        <f>AA23/G23</f>
        <v>0.4</v>
      </c>
      <c r="AH23" s="15">
        <f>AB23/H23</f>
        <v>0.33333333333333331</v>
      </c>
    </row>
    <row r="24" spans="1:34" x14ac:dyDescent="0.35">
      <c r="A24" s="8">
        <v>21</v>
      </c>
      <c r="B24" s="1" t="s">
        <v>66</v>
      </c>
      <c r="C24" s="1" t="s">
        <v>67</v>
      </c>
      <c r="D24" s="1" t="s">
        <v>15</v>
      </c>
      <c r="E24" s="1" t="s">
        <v>68</v>
      </c>
      <c r="F24" s="9">
        <v>264</v>
      </c>
      <c r="G24" s="9">
        <v>47</v>
      </c>
      <c r="H24" s="10">
        <f t="shared" si="0"/>
        <v>311</v>
      </c>
      <c r="I24" s="17">
        <v>139</v>
      </c>
      <c r="J24" s="17">
        <v>21</v>
      </c>
      <c r="K24" s="17">
        <v>22</v>
      </c>
      <c r="L24" s="17">
        <f t="shared" si="1"/>
        <v>160</v>
      </c>
      <c r="M24" s="18">
        <f t="shared" si="2"/>
        <v>1</v>
      </c>
      <c r="N24" s="19">
        <v>1</v>
      </c>
      <c r="O24" s="19">
        <v>30</v>
      </c>
      <c r="P24" s="19">
        <v>6</v>
      </c>
      <c r="Q24" s="19">
        <f t="shared" si="3"/>
        <v>31</v>
      </c>
      <c r="R24" s="20">
        <f t="shared" si="4"/>
        <v>-24</v>
      </c>
      <c r="S24" s="21">
        <f t="shared" si="5"/>
        <v>191</v>
      </c>
      <c r="T24" s="21">
        <f t="shared" si="6"/>
        <v>51</v>
      </c>
      <c r="U24" s="21">
        <f>K24+P24</f>
        <v>28</v>
      </c>
      <c r="V24" s="21">
        <f t="shared" si="7"/>
        <v>-163</v>
      </c>
      <c r="W24" s="11">
        <f>I24+J24+K24</f>
        <v>182</v>
      </c>
      <c r="X24" s="11">
        <f>N24+O24+P24</f>
        <v>37</v>
      </c>
      <c r="Y24" s="12">
        <f t="shared" si="8"/>
        <v>219</v>
      </c>
      <c r="Z24" s="13">
        <f>I24+K24</f>
        <v>161</v>
      </c>
      <c r="AA24" s="13">
        <f>N24+P24</f>
        <v>7</v>
      </c>
      <c r="AB24" s="14">
        <f t="shared" si="9"/>
        <v>168</v>
      </c>
      <c r="AC24" s="35">
        <f>W24/F24</f>
        <v>0.68939393939393945</v>
      </c>
      <c r="AD24" s="35">
        <f>X24/G24</f>
        <v>0.78723404255319152</v>
      </c>
      <c r="AE24" s="15">
        <f>Y24/H24</f>
        <v>0.70418006430868163</v>
      </c>
      <c r="AF24" s="36">
        <f>Z24/F24</f>
        <v>0.60984848484848486</v>
      </c>
      <c r="AG24" s="36">
        <f>AA24/G24</f>
        <v>0.14893617021276595</v>
      </c>
      <c r="AH24" s="15">
        <f>AB24/H24</f>
        <v>0.54019292604501612</v>
      </c>
    </row>
    <row r="25" spans="1:34" x14ac:dyDescent="0.35">
      <c r="A25" s="8">
        <v>22</v>
      </c>
      <c r="B25" s="1" t="s">
        <v>71</v>
      </c>
      <c r="C25" s="1" t="s">
        <v>72</v>
      </c>
      <c r="D25" s="1" t="s">
        <v>15</v>
      </c>
      <c r="E25" s="1" t="s">
        <v>51</v>
      </c>
      <c r="F25" s="9">
        <v>336</v>
      </c>
      <c r="G25" s="9">
        <v>32</v>
      </c>
      <c r="H25" s="10">
        <f t="shared" si="0"/>
        <v>368</v>
      </c>
      <c r="I25" s="17">
        <v>165</v>
      </c>
      <c r="J25" s="17">
        <v>28</v>
      </c>
      <c r="K25" s="17">
        <v>51</v>
      </c>
      <c r="L25" s="17">
        <f t="shared" si="1"/>
        <v>193</v>
      </c>
      <c r="M25" s="18">
        <f t="shared" si="2"/>
        <v>23</v>
      </c>
      <c r="N25" s="19">
        <v>5</v>
      </c>
      <c r="O25" s="19">
        <v>12</v>
      </c>
      <c r="P25" s="19">
        <v>12</v>
      </c>
      <c r="Q25" s="19">
        <f t="shared" si="3"/>
        <v>17</v>
      </c>
      <c r="R25" s="20">
        <f t="shared" si="4"/>
        <v>0</v>
      </c>
      <c r="S25" s="21">
        <f t="shared" si="5"/>
        <v>210</v>
      </c>
      <c r="T25" s="21">
        <f t="shared" si="6"/>
        <v>40</v>
      </c>
      <c r="U25" s="21">
        <f>K25+P25</f>
        <v>63</v>
      </c>
      <c r="V25" s="21">
        <f t="shared" si="7"/>
        <v>-147</v>
      </c>
      <c r="W25" s="11">
        <f>I25+J25+K25</f>
        <v>244</v>
      </c>
      <c r="X25" s="11">
        <f>N25+O25+P25</f>
        <v>29</v>
      </c>
      <c r="Y25" s="12">
        <f t="shared" si="8"/>
        <v>273</v>
      </c>
      <c r="Z25" s="13">
        <f>I25+K25</f>
        <v>216</v>
      </c>
      <c r="AA25" s="13">
        <f>N25+P25</f>
        <v>17</v>
      </c>
      <c r="AB25" s="14">
        <f t="shared" si="9"/>
        <v>233</v>
      </c>
      <c r="AC25" s="35">
        <f>W25/F25</f>
        <v>0.72619047619047616</v>
      </c>
      <c r="AD25" s="35">
        <f>X25/G25</f>
        <v>0.90625</v>
      </c>
      <c r="AE25" s="15">
        <f>Y25/H25</f>
        <v>0.74184782608695654</v>
      </c>
      <c r="AF25" s="36">
        <f>Z25/F25</f>
        <v>0.6428571428571429</v>
      </c>
      <c r="AG25" s="36">
        <f>AA25/G25</f>
        <v>0.53125</v>
      </c>
      <c r="AH25" s="15">
        <f>AB25/H25</f>
        <v>0.63315217391304346</v>
      </c>
    </row>
    <row r="26" spans="1:34" x14ac:dyDescent="0.35">
      <c r="A26" s="8">
        <v>23</v>
      </c>
      <c r="B26" s="1" t="s">
        <v>73</v>
      </c>
      <c r="C26" s="1" t="s">
        <v>74</v>
      </c>
      <c r="D26" s="1" t="s">
        <v>15</v>
      </c>
      <c r="E26" s="1" t="s">
        <v>48</v>
      </c>
      <c r="F26" s="9">
        <v>355</v>
      </c>
      <c r="G26" s="9">
        <v>49</v>
      </c>
      <c r="H26" s="10">
        <f t="shared" si="0"/>
        <v>404</v>
      </c>
      <c r="I26" s="17">
        <v>74</v>
      </c>
      <c r="J26" s="17">
        <v>36</v>
      </c>
      <c r="K26" s="17">
        <v>5</v>
      </c>
      <c r="L26" s="17">
        <f t="shared" si="1"/>
        <v>110</v>
      </c>
      <c r="M26" s="18">
        <f t="shared" si="2"/>
        <v>-31</v>
      </c>
      <c r="N26" s="19">
        <v>1</v>
      </c>
      <c r="O26" s="19">
        <v>3</v>
      </c>
      <c r="P26" s="19">
        <v>1</v>
      </c>
      <c r="Q26" s="19">
        <f t="shared" si="3"/>
        <v>4</v>
      </c>
      <c r="R26" s="20">
        <f t="shared" si="4"/>
        <v>-2</v>
      </c>
      <c r="S26" s="21">
        <f t="shared" si="5"/>
        <v>114</v>
      </c>
      <c r="T26" s="21">
        <f t="shared" si="6"/>
        <v>39</v>
      </c>
      <c r="U26" s="21">
        <f>K26+P26</f>
        <v>6</v>
      </c>
      <c r="V26" s="21">
        <f t="shared" si="7"/>
        <v>-108</v>
      </c>
      <c r="W26" s="11">
        <f>I26+J26+K26</f>
        <v>115</v>
      </c>
      <c r="X26" s="11">
        <f>N26+O26+P26</f>
        <v>5</v>
      </c>
      <c r="Y26" s="12">
        <f t="shared" si="8"/>
        <v>120</v>
      </c>
      <c r="Z26" s="13">
        <f>I26+K26</f>
        <v>79</v>
      </c>
      <c r="AA26" s="13">
        <f>N26+P26</f>
        <v>2</v>
      </c>
      <c r="AB26" s="14">
        <f t="shared" si="9"/>
        <v>81</v>
      </c>
      <c r="AC26" s="35">
        <f>W26/F26</f>
        <v>0.323943661971831</v>
      </c>
      <c r="AD26" s="35">
        <f>X26/G26</f>
        <v>0.10204081632653061</v>
      </c>
      <c r="AE26" s="15">
        <f>Y26/H26</f>
        <v>0.29702970297029702</v>
      </c>
      <c r="AF26" s="36">
        <f>Z26/F26</f>
        <v>0.22253521126760564</v>
      </c>
      <c r="AG26" s="36">
        <f>AA26/G26</f>
        <v>4.0816326530612242E-2</v>
      </c>
      <c r="AH26" s="15">
        <f>AB26/H26</f>
        <v>0.20049504950495051</v>
      </c>
    </row>
    <row r="27" spans="1:34" x14ac:dyDescent="0.35">
      <c r="A27" s="8">
        <v>24</v>
      </c>
      <c r="B27" s="1" t="s">
        <v>75</v>
      </c>
      <c r="C27" s="1" t="s">
        <v>76</v>
      </c>
      <c r="D27" s="1" t="s">
        <v>15</v>
      </c>
      <c r="E27" s="1" t="s">
        <v>68</v>
      </c>
      <c r="F27" s="9">
        <v>259</v>
      </c>
      <c r="G27" s="9">
        <v>35</v>
      </c>
      <c r="H27" s="10">
        <f t="shared" si="0"/>
        <v>294</v>
      </c>
      <c r="I27" s="17">
        <v>147</v>
      </c>
      <c r="J27" s="17">
        <v>40</v>
      </c>
      <c r="K27" s="17">
        <v>29</v>
      </c>
      <c r="L27" s="17">
        <f t="shared" si="1"/>
        <v>187</v>
      </c>
      <c r="M27" s="18">
        <f t="shared" si="2"/>
        <v>-11</v>
      </c>
      <c r="N27" s="19">
        <v>4</v>
      </c>
      <c r="O27" s="19">
        <v>24</v>
      </c>
      <c r="P27" s="19">
        <v>8</v>
      </c>
      <c r="Q27" s="19">
        <f t="shared" si="3"/>
        <v>28</v>
      </c>
      <c r="R27" s="20">
        <f t="shared" si="4"/>
        <v>-16</v>
      </c>
      <c r="S27" s="21">
        <f t="shared" si="5"/>
        <v>215</v>
      </c>
      <c r="T27" s="21">
        <f t="shared" si="6"/>
        <v>64</v>
      </c>
      <c r="U27" s="21">
        <f>K27+P27</f>
        <v>37</v>
      </c>
      <c r="V27" s="21">
        <f t="shared" si="7"/>
        <v>-178</v>
      </c>
      <c r="W27" s="11">
        <f>I27+J27+K27</f>
        <v>216</v>
      </c>
      <c r="X27" s="11">
        <f>N27+O27+P27</f>
        <v>36</v>
      </c>
      <c r="Y27" s="12">
        <f t="shared" si="8"/>
        <v>252</v>
      </c>
      <c r="Z27" s="13">
        <f>I27+K27</f>
        <v>176</v>
      </c>
      <c r="AA27" s="13">
        <f>N27+P27</f>
        <v>12</v>
      </c>
      <c r="AB27" s="14">
        <f t="shared" si="9"/>
        <v>188</v>
      </c>
      <c r="AC27" s="35">
        <f>W27/F27</f>
        <v>0.83397683397683398</v>
      </c>
      <c r="AD27" s="35">
        <f>X27/G27</f>
        <v>1.0285714285714285</v>
      </c>
      <c r="AE27" s="15">
        <f>Y27/H27</f>
        <v>0.8571428571428571</v>
      </c>
      <c r="AF27" s="36">
        <f>Z27/F27</f>
        <v>0.67953667953667951</v>
      </c>
      <c r="AG27" s="36">
        <f>AA27/G27</f>
        <v>0.34285714285714286</v>
      </c>
      <c r="AH27" s="15">
        <f>AB27/H27</f>
        <v>0.63945578231292521</v>
      </c>
    </row>
    <row r="28" spans="1:34" x14ac:dyDescent="0.35">
      <c r="A28" s="8">
        <v>25</v>
      </c>
      <c r="B28" s="1" t="s">
        <v>77</v>
      </c>
      <c r="C28" s="1" t="s">
        <v>78</v>
      </c>
      <c r="D28" s="1" t="s">
        <v>15</v>
      </c>
      <c r="E28" s="1" t="s">
        <v>16</v>
      </c>
      <c r="F28" s="9">
        <v>338</v>
      </c>
      <c r="G28" s="9">
        <v>22</v>
      </c>
      <c r="H28" s="10">
        <f t="shared" si="0"/>
        <v>360</v>
      </c>
      <c r="I28" s="17">
        <v>93</v>
      </c>
      <c r="J28" s="17">
        <v>75</v>
      </c>
      <c r="K28" s="17">
        <v>37</v>
      </c>
      <c r="L28" s="17">
        <f t="shared" si="1"/>
        <v>168</v>
      </c>
      <c r="M28" s="18">
        <f t="shared" si="2"/>
        <v>-38</v>
      </c>
      <c r="N28" s="19">
        <v>3</v>
      </c>
      <c r="O28" s="19">
        <v>8</v>
      </c>
      <c r="P28" s="19">
        <v>3</v>
      </c>
      <c r="Q28" s="19">
        <f t="shared" si="3"/>
        <v>11</v>
      </c>
      <c r="R28" s="20">
        <f t="shared" si="4"/>
        <v>-5</v>
      </c>
      <c r="S28" s="21">
        <f t="shared" si="5"/>
        <v>179</v>
      </c>
      <c r="T28" s="21">
        <f t="shared" si="6"/>
        <v>83</v>
      </c>
      <c r="U28" s="21">
        <f>K28+P28</f>
        <v>40</v>
      </c>
      <c r="V28" s="21">
        <f t="shared" si="7"/>
        <v>-139</v>
      </c>
      <c r="W28" s="11">
        <f>I28+J28+K28</f>
        <v>205</v>
      </c>
      <c r="X28" s="11">
        <f>N28+O28+P28</f>
        <v>14</v>
      </c>
      <c r="Y28" s="12">
        <f t="shared" si="8"/>
        <v>219</v>
      </c>
      <c r="Z28" s="13">
        <f>I28+K28</f>
        <v>130</v>
      </c>
      <c r="AA28" s="13">
        <f>N28+P28</f>
        <v>6</v>
      </c>
      <c r="AB28" s="14">
        <f t="shared" si="9"/>
        <v>136</v>
      </c>
      <c r="AC28" s="35">
        <f>W28/F28</f>
        <v>0.60650887573964496</v>
      </c>
      <c r="AD28" s="35">
        <f>X28/G28</f>
        <v>0.63636363636363635</v>
      </c>
      <c r="AE28" s="15">
        <f>Y28/H28</f>
        <v>0.60833333333333328</v>
      </c>
      <c r="AF28" s="36">
        <f>Z28/F28</f>
        <v>0.38461538461538464</v>
      </c>
      <c r="AG28" s="36">
        <f>AA28/G28</f>
        <v>0.27272727272727271</v>
      </c>
      <c r="AH28" s="15">
        <f>AB28/H28</f>
        <v>0.37777777777777777</v>
      </c>
    </row>
    <row r="29" spans="1:34" x14ac:dyDescent="0.35">
      <c r="A29" s="8">
        <v>26</v>
      </c>
      <c r="B29" s="1" t="s">
        <v>79</v>
      </c>
      <c r="C29" s="1" t="s">
        <v>80</v>
      </c>
      <c r="D29" s="1" t="s">
        <v>15</v>
      </c>
      <c r="E29" s="1" t="s">
        <v>37</v>
      </c>
      <c r="F29" s="9">
        <v>343</v>
      </c>
      <c r="G29" s="9">
        <v>31</v>
      </c>
      <c r="H29" s="10">
        <f t="shared" si="0"/>
        <v>374</v>
      </c>
      <c r="I29" s="17">
        <v>114</v>
      </c>
      <c r="J29" s="17">
        <v>20</v>
      </c>
      <c r="K29" s="17">
        <v>35</v>
      </c>
      <c r="L29" s="17">
        <f t="shared" si="1"/>
        <v>134</v>
      </c>
      <c r="M29" s="18">
        <f t="shared" si="2"/>
        <v>15</v>
      </c>
      <c r="N29" s="19">
        <v>1</v>
      </c>
      <c r="O29" s="19">
        <v>10</v>
      </c>
      <c r="P29" s="19">
        <v>3</v>
      </c>
      <c r="Q29" s="19">
        <f t="shared" si="3"/>
        <v>11</v>
      </c>
      <c r="R29" s="20">
        <f t="shared" si="4"/>
        <v>-7</v>
      </c>
      <c r="S29" s="21">
        <f t="shared" si="5"/>
        <v>145</v>
      </c>
      <c r="T29" s="21">
        <f t="shared" si="6"/>
        <v>30</v>
      </c>
      <c r="U29" s="21">
        <f>K29+P29</f>
        <v>38</v>
      </c>
      <c r="V29" s="21">
        <f t="shared" si="7"/>
        <v>-107</v>
      </c>
      <c r="W29" s="11">
        <f>I29+J29+K29</f>
        <v>169</v>
      </c>
      <c r="X29" s="11">
        <f>N29+O29+P29</f>
        <v>14</v>
      </c>
      <c r="Y29" s="12">
        <f t="shared" si="8"/>
        <v>183</v>
      </c>
      <c r="Z29" s="13">
        <f>I29+K29</f>
        <v>149</v>
      </c>
      <c r="AA29" s="13">
        <f>N29+P29</f>
        <v>4</v>
      </c>
      <c r="AB29" s="14">
        <f t="shared" si="9"/>
        <v>153</v>
      </c>
      <c r="AC29" s="35">
        <f>W29/F29</f>
        <v>0.49271137026239065</v>
      </c>
      <c r="AD29" s="35">
        <f>X29/G29</f>
        <v>0.45161290322580644</v>
      </c>
      <c r="AE29" s="15">
        <f>Y29/H29</f>
        <v>0.48930481283422461</v>
      </c>
      <c r="AF29" s="36">
        <f>Z29/F29</f>
        <v>0.43440233236151604</v>
      </c>
      <c r="AG29" s="36">
        <f>AA29/G29</f>
        <v>0.12903225806451613</v>
      </c>
      <c r="AH29" s="15">
        <f>AB29/H29</f>
        <v>0.40909090909090912</v>
      </c>
    </row>
    <row r="30" spans="1:34" x14ac:dyDescent="0.35">
      <c r="A30" s="8">
        <v>27</v>
      </c>
      <c r="B30" s="1" t="s">
        <v>81</v>
      </c>
      <c r="C30" s="1" t="s">
        <v>82</v>
      </c>
      <c r="D30" s="1" t="s">
        <v>15</v>
      </c>
      <c r="E30" s="1" t="s">
        <v>34</v>
      </c>
      <c r="F30" s="9">
        <v>330</v>
      </c>
      <c r="G30" s="9">
        <v>25</v>
      </c>
      <c r="H30" s="10">
        <f t="shared" si="0"/>
        <v>355</v>
      </c>
      <c r="I30" s="17">
        <v>112</v>
      </c>
      <c r="J30" s="17">
        <v>30</v>
      </c>
      <c r="K30" s="17">
        <v>29</v>
      </c>
      <c r="L30" s="17">
        <f t="shared" si="1"/>
        <v>142</v>
      </c>
      <c r="M30" s="18">
        <f t="shared" si="2"/>
        <v>-1</v>
      </c>
      <c r="N30" s="19">
        <v>1</v>
      </c>
      <c r="O30" s="19">
        <v>10</v>
      </c>
      <c r="P30" s="19">
        <v>6</v>
      </c>
      <c r="Q30" s="19">
        <f t="shared" si="3"/>
        <v>11</v>
      </c>
      <c r="R30" s="20">
        <f t="shared" si="4"/>
        <v>-4</v>
      </c>
      <c r="S30" s="21">
        <f t="shared" si="5"/>
        <v>153</v>
      </c>
      <c r="T30" s="21">
        <f t="shared" si="6"/>
        <v>40</v>
      </c>
      <c r="U30" s="21">
        <f>K30+P30</f>
        <v>35</v>
      </c>
      <c r="V30" s="21">
        <f t="shared" si="7"/>
        <v>-118</v>
      </c>
      <c r="W30" s="11">
        <f>I30+J30+K30</f>
        <v>171</v>
      </c>
      <c r="X30" s="11">
        <f>N30+O30+P30</f>
        <v>17</v>
      </c>
      <c r="Y30" s="12">
        <f t="shared" si="8"/>
        <v>188</v>
      </c>
      <c r="Z30" s="13">
        <f>I30+K30</f>
        <v>141</v>
      </c>
      <c r="AA30" s="13">
        <f>N30+P30</f>
        <v>7</v>
      </c>
      <c r="AB30" s="14">
        <f t="shared" si="9"/>
        <v>148</v>
      </c>
      <c r="AC30" s="35">
        <f>W30/F30</f>
        <v>0.51818181818181819</v>
      </c>
      <c r="AD30" s="35">
        <f>X30/G30</f>
        <v>0.68</v>
      </c>
      <c r="AE30" s="15">
        <f>Y30/H30</f>
        <v>0.52957746478873235</v>
      </c>
      <c r="AF30" s="36">
        <f>Z30/F30</f>
        <v>0.42727272727272725</v>
      </c>
      <c r="AG30" s="36">
        <f>AA30/G30</f>
        <v>0.28000000000000003</v>
      </c>
      <c r="AH30" s="15">
        <f>AB30/H30</f>
        <v>0.41690140845070423</v>
      </c>
    </row>
    <row r="31" spans="1:34" x14ac:dyDescent="0.35">
      <c r="A31" s="8">
        <v>28</v>
      </c>
      <c r="B31" s="1" t="s">
        <v>86</v>
      </c>
      <c r="C31" s="1" t="s">
        <v>87</v>
      </c>
      <c r="D31" s="1" t="s">
        <v>15</v>
      </c>
      <c r="E31" s="1" t="s">
        <v>88</v>
      </c>
      <c r="F31" s="9">
        <v>294</v>
      </c>
      <c r="G31" s="9">
        <v>15</v>
      </c>
      <c r="H31" s="10">
        <f t="shared" si="0"/>
        <v>309</v>
      </c>
      <c r="I31" s="17">
        <v>49</v>
      </c>
      <c r="J31" s="17">
        <v>31</v>
      </c>
      <c r="K31" s="17">
        <v>5</v>
      </c>
      <c r="L31" s="17">
        <f t="shared" si="1"/>
        <v>80</v>
      </c>
      <c r="M31" s="18">
        <f t="shared" si="2"/>
        <v>-26</v>
      </c>
      <c r="N31" s="19">
        <v>0</v>
      </c>
      <c r="O31" s="19">
        <v>0</v>
      </c>
      <c r="P31" s="19">
        <v>0</v>
      </c>
      <c r="Q31" s="19">
        <f t="shared" si="3"/>
        <v>0</v>
      </c>
      <c r="R31" s="20">
        <f t="shared" si="4"/>
        <v>0</v>
      </c>
      <c r="S31" s="21">
        <f t="shared" si="5"/>
        <v>80</v>
      </c>
      <c r="T31" s="21">
        <f t="shared" si="6"/>
        <v>31</v>
      </c>
      <c r="U31" s="21">
        <f>K31+P31</f>
        <v>5</v>
      </c>
      <c r="V31" s="21">
        <f t="shared" si="7"/>
        <v>-75</v>
      </c>
      <c r="W31" s="11">
        <f>I31+J31+K31</f>
        <v>85</v>
      </c>
      <c r="X31" s="11">
        <f>N31+O31+P31</f>
        <v>0</v>
      </c>
      <c r="Y31" s="12">
        <f t="shared" si="8"/>
        <v>85</v>
      </c>
      <c r="Z31" s="13">
        <f>I31+K31</f>
        <v>54</v>
      </c>
      <c r="AA31" s="13">
        <f>N31+P31</f>
        <v>0</v>
      </c>
      <c r="AB31" s="14">
        <f t="shared" si="9"/>
        <v>54</v>
      </c>
      <c r="AC31" s="35">
        <f>W31/F31</f>
        <v>0.28911564625850339</v>
      </c>
      <c r="AD31" s="35">
        <f>X31/G31</f>
        <v>0</v>
      </c>
      <c r="AE31" s="15">
        <f>Y31/H31</f>
        <v>0.27508090614886732</v>
      </c>
      <c r="AF31" s="36">
        <f>Z31/F31</f>
        <v>0.18367346938775511</v>
      </c>
      <c r="AG31" s="36">
        <f>AA31/G31</f>
        <v>0</v>
      </c>
      <c r="AH31" s="15">
        <f>AB31/H31</f>
        <v>0.17475728155339806</v>
      </c>
    </row>
    <row r="32" spans="1:34" x14ac:dyDescent="0.35">
      <c r="A32" s="8">
        <v>29</v>
      </c>
      <c r="B32" s="1" t="s">
        <v>89</v>
      </c>
      <c r="C32" s="1" t="s">
        <v>90</v>
      </c>
      <c r="D32" s="1" t="s">
        <v>15</v>
      </c>
      <c r="E32" s="1" t="s">
        <v>16</v>
      </c>
      <c r="F32" s="9">
        <v>337</v>
      </c>
      <c r="G32" s="9">
        <v>27</v>
      </c>
      <c r="H32" s="10">
        <f t="shared" si="0"/>
        <v>364</v>
      </c>
      <c r="I32" s="17">
        <v>136</v>
      </c>
      <c r="J32" s="17">
        <v>42</v>
      </c>
      <c r="K32" s="17">
        <v>36</v>
      </c>
      <c r="L32" s="17">
        <f t="shared" si="1"/>
        <v>178</v>
      </c>
      <c r="M32" s="18">
        <f t="shared" si="2"/>
        <v>-6</v>
      </c>
      <c r="N32" s="19">
        <v>1</v>
      </c>
      <c r="O32" s="19">
        <v>1</v>
      </c>
      <c r="P32" s="19">
        <v>7</v>
      </c>
      <c r="Q32" s="19">
        <f t="shared" si="3"/>
        <v>2</v>
      </c>
      <c r="R32" s="20">
        <f t="shared" si="4"/>
        <v>6</v>
      </c>
      <c r="S32" s="21">
        <f t="shared" si="5"/>
        <v>180</v>
      </c>
      <c r="T32" s="21">
        <f t="shared" si="6"/>
        <v>43</v>
      </c>
      <c r="U32" s="21">
        <f>K32+P32</f>
        <v>43</v>
      </c>
      <c r="V32" s="21">
        <f t="shared" si="7"/>
        <v>-137</v>
      </c>
      <c r="W32" s="11">
        <f>I32+J32+K32</f>
        <v>214</v>
      </c>
      <c r="X32" s="11">
        <f>N32+O32+P32</f>
        <v>9</v>
      </c>
      <c r="Y32" s="12">
        <f t="shared" si="8"/>
        <v>223</v>
      </c>
      <c r="Z32" s="13">
        <f>I32+K32</f>
        <v>172</v>
      </c>
      <c r="AA32" s="13">
        <f>N32+P32</f>
        <v>8</v>
      </c>
      <c r="AB32" s="14">
        <f t="shared" si="9"/>
        <v>180</v>
      </c>
      <c r="AC32" s="35">
        <f>W32/F32</f>
        <v>0.63501483679525228</v>
      </c>
      <c r="AD32" s="35">
        <f>X32/G32</f>
        <v>0.33333333333333331</v>
      </c>
      <c r="AE32" s="15">
        <f>Y32/H32</f>
        <v>0.61263736263736268</v>
      </c>
      <c r="AF32" s="36">
        <f>Z32/F32</f>
        <v>0.51038575667655783</v>
      </c>
      <c r="AG32" s="36">
        <f>AA32/G32</f>
        <v>0.29629629629629628</v>
      </c>
      <c r="AH32" s="15">
        <f>AB32/H32</f>
        <v>0.49450549450549453</v>
      </c>
    </row>
    <row r="33" spans="1:34" x14ac:dyDescent="0.35">
      <c r="A33" s="8">
        <v>30</v>
      </c>
      <c r="B33" s="1" t="s">
        <v>91</v>
      </c>
      <c r="C33" s="1" t="s">
        <v>92</v>
      </c>
      <c r="D33" s="1" t="s">
        <v>15</v>
      </c>
      <c r="E33" s="1" t="s">
        <v>93</v>
      </c>
      <c r="F33" s="9">
        <v>394</v>
      </c>
      <c r="G33" s="9">
        <v>52</v>
      </c>
      <c r="H33" s="10">
        <f t="shared" si="0"/>
        <v>446</v>
      </c>
      <c r="I33" s="17">
        <v>138</v>
      </c>
      <c r="J33" s="17">
        <v>38</v>
      </c>
      <c r="K33" s="17">
        <v>25</v>
      </c>
      <c r="L33" s="17">
        <f t="shared" si="1"/>
        <v>176</v>
      </c>
      <c r="M33" s="18">
        <f t="shared" si="2"/>
        <v>-13</v>
      </c>
      <c r="N33" s="19">
        <v>9</v>
      </c>
      <c r="O33" s="19">
        <v>19</v>
      </c>
      <c r="P33" s="19">
        <v>11</v>
      </c>
      <c r="Q33" s="19">
        <f t="shared" si="3"/>
        <v>28</v>
      </c>
      <c r="R33" s="20">
        <f t="shared" si="4"/>
        <v>-8</v>
      </c>
      <c r="S33" s="21">
        <f t="shared" si="5"/>
        <v>204</v>
      </c>
      <c r="T33" s="21">
        <f t="shared" si="6"/>
        <v>57</v>
      </c>
      <c r="U33" s="21">
        <f>K33+P33</f>
        <v>36</v>
      </c>
      <c r="V33" s="21">
        <f t="shared" si="7"/>
        <v>-168</v>
      </c>
      <c r="W33" s="11">
        <f>I33+J33+K33</f>
        <v>201</v>
      </c>
      <c r="X33" s="11">
        <f>N33+O33+P33</f>
        <v>39</v>
      </c>
      <c r="Y33" s="12">
        <f t="shared" si="8"/>
        <v>240</v>
      </c>
      <c r="Z33" s="13">
        <f>I33+K33</f>
        <v>163</v>
      </c>
      <c r="AA33" s="13">
        <f>N33+P33</f>
        <v>20</v>
      </c>
      <c r="AB33" s="14">
        <f t="shared" si="9"/>
        <v>183</v>
      </c>
      <c r="AC33" s="35">
        <f>W33/F33</f>
        <v>0.51015228426395942</v>
      </c>
      <c r="AD33" s="35">
        <f>X33/G33</f>
        <v>0.75</v>
      </c>
      <c r="AE33" s="15">
        <f>Y33/H33</f>
        <v>0.53811659192825112</v>
      </c>
      <c r="AF33" s="36">
        <f>Z33/F33</f>
        <v>0.4137055837563452</v>
      </c>
      <c r="AG33" s="36">
        <f>AA33/G33</f>
        <v>0.38461538461538464</v>
      </c>
      <c r="AH33" s="15">
        <f>AB33/H33</f>
        <v>0.4103139013452915</v>
      </c>
    </row>
    <row r="34" spans="1:34" x14ac:dyDescent="0.35">
      <c r="A34" s="8">
        <v>31</v>
      </c>
      <c r="B34" s="1" t="s">
        <v>94</v>
      </c>
      <c r="C34" s="1" t="s">
        <v>95</v>
      </c>
      <c r="D34" s="1" t="s">
        <v>15</v>
      </c>
      <c r="E34" s="1" t="s">
        <v>96</v>
      </c>
      <c r="F34" s="9">
        <v>251</v>
      </c>
      <c r="G34" s="9">
        <v>43</v>
      </c>
      <c r="H34" s="10">
        <f t="shared" si="0"/>
        <v>294</v>
      </c>
      <c r="I34" s="17">
        <v>89</v>
      </c>
      <c r="J34" s="17">
        <v>25</v>
      </c>
      <c r="K34" s="17">
        <v>20</v>
      </c>
      <c r="L34" s="17">
        <f t="shared" si="1"/>
        <v>114</v>
      </c>
      <c r="M34" s="18">
        <f t="shared" si="2"/>
        <v>-5</v>
      </c>
      <c r="N34" s="19">
        <v>1</v>
      </c>
      <c r="O34" s="19">
        <v>12</v>
      </c>
      <c r="P34" s="19">
        <v>7</v>
      </c>
      <c r="Q34" s="19">
        <f t="shared" si="3"/>
        <v>13</v>
      </c>
      <c r="R34" s="20">
        <f t="shared" si="4"/>
        <v>-5</v>
      </c>
      <c r="S34" s="21">
        <f t="shared" si="5"/>
        <v>127</v>
      </c>
      <c r="T34" s="21">
        <f t="shared" si="6"/>
        <v>37</v>
      </c>
      <c r="U34" s="21">
        <f>K34+P34</f>
        <v>27</v>
      </c>
      <c r="V34" s="21">
        <f t="shared" si="7"/>
        <v>-100</v>
      </c>
      <c r="W34" s="11">
        <f>I34+J34+K34</f>
        <v>134</v>
      </c>
      <c r="X34" s="11">
        <f>N34+O34+P34</f>
        <v>20</v>
      </c>
      <c r="Y34" s="12">
        <f t="shared" si="8"/>
        <v>154</v>
      </c>
      <c r="Z34" s="13">
        <f>I34+K34</f>
        <v>109</v>
      </c>
      <c r="AA34" s="13">
        <f>N34+P34</f>
        <v>8</v>
      </c>
      <c r="AB34" s="14">
        <f t="shared" si="9"/>
        <v>117</v>
      </c>
      <c r="AC34" s="35">
        <f>W34/F34</f>
        <v>0.53386454183266929</v>
      </c>
      <c r="AD34" s="35">
        <f>X34/G34</f>
        <v>0.46511627906976744</v>
      </c>
      <c r="AE34" s="15">
        <f>Y34/H34</f>
        <v>0.52380952380952384</v>
      </c>
      <c r="AF34" s="36">
        <f>Z34/F34</f>
        <v>0.43426294820717132</v>
      </c>
      <c r="AG34" s="36">
        <f>AA34/G34</f>
        <v>0.18604651162790697</v>
      </c>
      <c r="AH34" s="15">
        <f>AB34/H34</f>
        <v>0.39795918367346939</v>
      </c>
    </row>
    <row r="35" spans="1:34" x14ac:dyDescent="0.35">
      <c r="A35" s="8">
        <v>32</v>
      </c>
      <c r="B35" s="1" t="s">
        <v>97</v>
      </c>
      <c r="C35" s="1" t="s">
        <v>98</v>
      </c>
      <c r="D35" s="1" t="s">
        <v>15</v>
      </c>
      <c r="E35" s="1" t="s">
        <v>16</v>
      </c>
      <c r="F35" s="9">
        <v>324</v>
      </c>
      <c r="G35" s="9">
        <v>58</v>
      </c>
      <c r="H35" s="10">
        <f t="shared" si="0"/>
        <v>382</v>
      </c>
      <c r="I35" s="17">
        <v>94</v>
      </c>
      <c r="J35" s="17">
        <v>49</v>
      </c>
      <c r="K35" s="17">
        <v>37</v>
      </c>
      <c r="L35" s="17">
        <f t="shared" si="1"/>
        <v>143</v>
      </c>
      <c r="M35" s="18">
        <f t="shared" si="2"/>
        <v>-12</v>
      </c>
      <c r="N35" s="19">
        <v>7</v>
      </c>
      <c r="O35" s="19">
        <v>18</v>
      </c>
      <c r="P35" s="19">
        <v>24</v>
      </c>
      <c r="Q35" s="19">
        <f t="shared" si="3"/>
        <v>25</v>
      </c>
      <c r="R35" s="20">
        <f t="shared" si="4"/>
        <v>6</v>
      </c>
      <c r="S35" s="21">
        <f t="shared" si="5"/>
        <v>168</v>
      </c>
      <c r="T35" s="21">
        <f t="shared" si="6"/>
        <v>67</v>
      </c>
      <c r="U35" s="21">
        <f>K35+P35</f>
        <v>61</v>
      </c>
      <c r="V35" s="21">
        <f t="shared" si="7"/>
        <v>-107</v>
      </c>
      <c r="W35" s="11">
        <f>I35+J35+K35</f>
        <v>180</v>
      </c>
      <c r="X35" s="11">
        <f>N35+O35+P35</f>
        <v>49</v>
      </c>
      <c r="Y35" s="12">
        <f t="shared" si="8"/>
        <v>229</v>
      </c>
      <c r="Z35" s="13">
        <f>I35+K35</f>
        <v>131</v>
      </c>
      <c r="AA35" s="13">
        <f>N35+P35</f>
        <v>31</v>
      </c>
      <c r="AB35" s="14">
        <f t="shared" si="9"/>
        <v>162</v>
      </c>
      <c r="AC35" s="35">
        <f>W35/F35</f>
        <v>0.55555555555555558</v>
      </c>
      <c r="AD35" s="35">
        <f>X35/G35</f>
        <v>0.84482758620689657</v>
      </c>
      <c r="AE35" s="15">
        <f>Y35/H35</f>
        <v>0.59947643979057597</v>
      </c>
      <c r="AF35" s="36">
        <f>Z35/F35</f>
        <v>0.40432098765432101</v>
      </c>
      <c r="AG35" s="36">
        <f>AA35/G35</f>
        <v>0.53448275862068961</v>
      </c>
      <c r="AH35" s="15">
        <f>AB35/H35</f>
        <v>0.42408376963350786</v>
      </c>
    </row>
    <row r="36" spans="1:34" x14ac:dyDescent="0.35">
      <c r="A36" s="8">
        <v>33</v>
      </c>
      <c r="B36" s="1" t="s">
        <v>99</v>
      </c>
      <c r="C36" s="1" t="s">
        <v>100</v>
      </c>
      <c r="D36" s="1" t="s">
        <v>15</v>
      </c>
      <c r="E36" s="1" t="s">
        <v>101</v>
      </c>
      <c r="F36" s="9">
        <v>409</v>
      </c>
      <c r="G36" s="9">
        <v>49</v>
      </c>
      <c r="H36" s="10">
        <f t="shared" si="0"/>
        <v>458</v>
      </c>
      <c r="I36" s="17">
        <v>181</v>
      </c>
      <c r="J36" s="17">
        <v>47</v>
      </c>
      <c r="K36" s="17">
        <v>10</v>
      </c>
      <c r="L36" s="17">
        <f t="shared" si="1"/>
        <v>228</v>
      </c>
      <c r="M36" s="18">
        <f t="shared" si="2"/>
        <v>-37</v>
      </c>
      <c r="N36" s="19">
        <v>8</v>
      </c>
      <c r="O36" s="19">
        <v>15</v>
      </c>
      <c r="P36" s="19">
        <v>9</v>
      </c>
      <c r="Q36" s="19">
        <f t="shared" si="3"/>
        <v>23</v>
      </c>
      <c r="R36" s="20">
        <f t="shared" si="4"/>
        <v>-6</v>
      </c>
      <c r="S36" s="21">
        <f t="shared" si="5"/>
        <v>251</v>
      </c>
      <c r="T36" s="21">
        <f t="shared" si="6"/>
        <v>62</v>
      </c>
      <c r="U36" s="21">
        <f>K36+P36</f>
        <v>19</v>
      </c>
      <c r="V36" s="21">
        <f t="shared" si="7"/>
        <v>-232</v>
      </c>
      <c r="W36" s="11">
        <f>I36+J36+K36</f>
        <v>238</v>
      </c>
      <c r="X36" s="11">
        <f>N36+O36+P36</f>
        <v>32</v>
      </c>
      <c r="Y36" s="12">
        <f t="shared" si="8"/>
        <v>270</v>
      </c>
      <c r="Z36" s="13">
        <f>I36+K36</f>
        <v>191</v>
      </c>
      <c r="AA36" s="13">
        <f>N36+P36</f>
        <v>17</v>
      </c>
      <c r="AB36" s="14">
        <f t="shared" si="9"/>
        <v>208</v>
      </c>
      <c r="AC36" s="35">
        <f>W36/F36</f>
        <v>0.58190709046454769</v>
      </c>
      <c r="AD36" s="35">
        <f>X36/G36</f>
        <v>0.65306122448979587</v>
      </c>
      <c r="AE36" s="15">
        <f>Y36/H36</f>
        <v>0.58951965065502188</v>
      </c>
      <c r="AF36" s="36">
        <f>Z36/F36</f>
        <v>0.4669926650366748</v>
      </c>
      <c r="AG36" s="36">
        <f>AA36/G36</f>
        <v>0.34693877551020408</v>
      </c>
      <c r="AH36" s="15">
        <f>AB36/H36</f>
        <v>0.45414847161572053</v>
      </c>
    </row>
    <row r="37" spans="1:34" x14ac:dyDescent="0.35">
      <c r="A37" s="8">
        <v>34</v>
      </c>
      <c r="B37" s="1" t="s">
        <v>102</v>
      </c>
      <c r="C37" s="1" t="s">
        <v>103</v>
      </c>
      <c r="D37" s="1" t="s">
        <v>15</v>
      </c>
      <c r="E37" s="1" t="s">
        <v>101</v>
      </c>
      <c r="F37" s="9">
        <v>407</v>
      </c>
      <c r="G37" s="9">
        <v>34</v>
      </c>
      <c r="H37" s="10">
        <f t="shared" si="0"/>
        <v>441</v>
      </c>
      <c r="I37" s="17">
        <v>142</v>
      </c>
      <c r="J37" s="17">
        <v>41</v>
      </c>
      <c r="K37" s="17">
        <v>7</v>
      </c>
      <c r="L37" s="17">
        <f t="shared" si="1"/>
        <v>183</v>
      </c>
      <c r="M37" s="18">
        <f t="shared" si="2"/>
        <v>-34</v>
      </c>
      <c r="N37" s="19">
        <v>4</v>
      </c>
      <c r="O37" s="19">
        <v>15</v>
      </c>
      <c r="P37" s="19">
        <v>6</v>
      </c>
      <c r="Q37" s="19">
        <f t="shared" si="3"/>
        <v>19</v>
      </c>
      <c r="R37" s="20">
        <f t="shared" si="4"/>
        <v>-9</v>
      </c>
      <c r="S37" s="21">
        <f t="shared" si="5"/>
        <v>202</v>
      </c>
      <c r="T37" s="21">
        <f t="shared" si="6"/>
        <v>56</v>
      </c>
      <c r="U37" s="21">
        <f>K37+P37</f>
        <v>13</v>
      </c>
      <c r="V37" s="21">
        <f t="shared" si="7"/>
        <v>-189</v>
      </c>
      <c r="W37" s="11">
        <f>I37+J37+K37</f>
        <v>190</v>
      </c>
      <c r="X37" s="11">
        <f>N37+O37+P37</f>
        <v>25</v>
      </c>
      <c r="Y37" s="12">
        <f t="shared" si="8"/>
        <v>215</v>
      </c>
      <c r="Z37" s="13">
        <f>I37+K37</f>
        <v>149</v>
      </c>
      <c r="AA37" s="13">
        <f>N37+P37</f>
        <v>10</v>
      </c>
      <c r="AB37" s="14">
        <f t="shared" si="9"/>
        <v>159</v>
      </c>
      <c r="AC37" s="35">
        <f>W37/F37</f>
        <v>0.46683046683046681</v>
      </c>
      <c r="AD37" s="35">
        <f>X37/G37</f>
        <v>0.73529411764705888</v>
      </c>
      <c r="AE37" s="15">
        <f>Y37/H37</f>
        <v>0.48752834467120182</v>
      </c>
      <c r="AF37" s="36">
        <f>Z37/F37</f>
        <v>0.36609336609336607</v>
      </c>
      <c r="AG37" s="36">
        <f>AA37/G37</f>
        <v>0.29411764705882354</v>
      </c>
      <c r="AH37" s="15">
        <f>AB37/H37</f>
        <v>0.36054421768707484</v>
      </c>
    </row>
    <row r="38" spans="1:34" x14ac:dyDescent="0.35">
      <c r="A38" s="8">
        <v>35</v>
      </c>
      <c r="B38" s="1" t="s">
        <v>104</v>
      </c>
      <c r="C38" s="1" t="s">
        <v>105</v>
      </c>
      <c r="D38" s="1" t="s">
        <v>15</v>
      </c>
      <c r="E38" s="1" t="s">
        <v>37</v>
      </c>
      <c r="F38" s="9">
        <v>372</v>
      </c>
      <c r="G38" s="9">
        <v>16</v>
      </c>
      <c r="H38" s="10">
        <f t="shared" si="0"/>
        <v>388</v>
      </c>
      <c r="I38" s="17">
        <v>161</v>
      </c>
      <c r="J38" s="17">
        <v>28</v>
      </c>
      <c r="K38" s="17">
        <v>21</v>
      </c>
      <c r="L38" s="17">
        <f t="shared" si="1"/>
        <v>189</v>
      </c>
      <c r="M38" s="18">
        <f t="shared" si="2"/>
        <v>-7</v>
      </c>
      <c r="N38" s="19">
        <v>3</v>
      </c>
      <c r="O38" s="19">
        <v>4</v>
      </c>
      <c r="P38" s="19">
        <v>4</v>
      </c>
      <c r="Q38" s="19">
        <f t="shared" si="3"/>
        <v>7</v>
      </c>
      <c r="R38" s="20">
        <f t="shared" si="4"/>
        <v>0</v>
      </c>
      <c r="S38" s="21">
        <f t="shared" si="5"/>
        <v>196</v>
      </c>
      <c r="T38" s="21">
        <f t="shared" si="6"/>
        <v>32</v>
      </c>
      <c r="U38" s="21">
        <f>K38+P38</f>
        <v>25</v>
      </c>
      <c r="V38" s="21">
        <f t="shared" si="7"/>
        <v>-171</v>
      </c>
      <c r="W38" s="11">
        <f>I38+J38+K38</f>
        <v>210</v>
      </c>
      <c r="X38" s="11">
        <f>N38+O38+P38</f>
        <v>11</v>
      </c>
      <c r="Y38" s="12">
        <f t="shared" si="8"/>
        <v>221</v>
      </c>
      <c r="Z38" s="13">
        <f>I38+K38</f>
        <v>182</v>
      </c>
      <c r="AA38" s="13">
        <f>N38+P38</f>
        <v>7</v>
      </c>
      <c r="AB38" s="14">
        <f t="shared" si="9"/>
        <v>189</v>
      </c>
      <c r="AC38" s="35">
        <f>W38/F38</f>
        <v>0.56451612903225812</v>
      </c>
      <c r="AD38" s="35">
        <f>X38/G38</f>
        <v>0.6875</v>
      </c>
      <c r="AE38" s="15">
        <f>Y38/H38</f>
        <v>0.56958762886597936</v>
      </c>
      <c r="AF38" s="36">
        <f>Z38/F38</f>
        <v>0.489247311827957</v>
      </c>
      <c r="AG38" s="36">
        <f>AA38/G38</f>
        <v>0.4375</v>
      </c>
      <c r="AH38" s="15">
        <f>AB38/H38</f>
        <v>0.48711340206185566</v>
      </c>
    </row>
    <row r="39" spans="1:34" x14ac:dyDescent="0.35">
      <c r="A39" s="8">
        <v>36</v>
      </c>
      <c r="B39" s="1" t="s">
        <v>108</v>
      </c>
      <c r="C39" s="1" t="s">
        <v>109</v>
      </c>
      <c r="D39" s="1" t="s">
        <v>15</v>
      </c>
      <c r="E39" s="1" t="s">
        <v>48</v>
      </c>
      <c r="F39" s="9">
        <v>357</v>
      </c>
      <c r="G39" s="9">
        <v>80</v>
      </c>
      <c r="H39" s="10">
        <f t="shared" si="0"/>
        <v>437</v>
      </c>
      <c r="I39" s="17">
        <v>90</v>
      </c>
      <c r="J39" s="17">
        <v>82</v>
      </c>
      <c r="K39" s="17">
        <v>27</v>
      </c>
      <c r="L39" s="17">
        <f t="shared" si="1"/>
        <v>172</v>
      </c>
      <c r="M39" s="18">
        <f t="shared" si="2"/>
        <v>-55</v>
      </c>
      <c r="N39" s="19">
        <v>4</v>
      </c>
      <c r="O39" s="19">
        <v>29</v>
      </c>
      <c r="P39" s="19">
        <v>7</v>
      </c>
      <c r="Q39" s="19">
        <f t="shared" si="3"/>
        <v>33</v>
      </c>
      <c r="R39" s="20">
        <f t="shared" si="4"/>
        <v>-22</v>
      </c>
      <c r="S39" s="21">
        <f t="shared" si="5"/>
        <v>205</v>
      </c>
      <c r="T39" s="21">
        <f t="shared" si="6"/>
        <v>111</v>
      </c>
      <c r="U39" s="21">
        <f>K39+P39</f>
        <v>34</v>
      </c>
      <c r="V39" s="21">
        <f t="shared" si="7"/>
        <v>-171</v>
      </c>
      <c r="W39" s="11">
        <f>I39+J39+K39</f>
        <v>199</v>
      </c>
      <c r="X39" s="11">
        <f>N39+O39+P39</f>
        <v>40</v>
      </c>
      <c r="Y39" s="12">
        <f t="shared" si="8"/>
        <v>239</v>
      </c>
      <c r="Z39" s="13">
        <f>I39+K39</f>
        <v>117</v>
      </c>
      <c r="AA39" s="13">
        <f>N39+P39</f>
        <v>11</v>
      </c>
      <c r="AB39" s="14">
        <f t="shared" si="9"/>
        <v>128</v>
      </c>
      <c r="AC39" s="35">
        <f>W39/F39</f>
        <v>0.55742296918767509</v>
      </c>
      <c r="AD39" s="35">
        <f>X39/G39</f>
        <v>0.5</v>
      </c>
      <c r="AE39" s="15">
        <f>Y39/H39</f>
        <v>0.54691075514874143</v>
      </c>
      <c r="AF39" s="36">
        <f>Z39/F39</f>
        <v>0.32773109243697479</v>
      </c>
      <c r="AG39" s="36">
        <f>AA39/G39</f>
        <v>0.13750000000000001</v>
      </c>
      <c r="AH39" s="15">
        <f>AB39/H39</f>
        <v>0.29290617848970252</v>
      </c>
    </row>
    <row r="40" spans="1:34" x14ac:dyDescent="0.35">
      <c r="A40" s="8">
        <v>37</v>
      </c>
      <c r="B40" s="1" t="s">
        <v>110</v>
      </c>
      <c r="C40" s="1" t="s">
        <v>111</v>
      </c>
      <c r="D40" s="1" t="s">
        <v>15</v>
      </c>
      <c r="E40" s="1" t="s">
        <v>88</v>
      </c>
      <c r="F40" s="9">
        <v>347</v>
      </c>
      <c r="G40" s="9">
        <v>18</v>
      </c>
      <c r="H40" s="10">
        <f t="shared" si="0"/>
        <v>365</v>
      </c>
      <c r="I40" s="17">
        <v>154</v>
      </c>
      <c r="J40" s="17">
        <v>26</v>
      </c>
      <c r="K40" s="17">
        <v>15</v>
      </c>
      <c r="L40" s="17">
        <f t="shared" si="1"/>
        <v>180</v>
      </c>
      <c r="M40" s="18">
        <f t="shared" si="2"/>
        <v>-11</v>
      </c>
      <c r="N40" s="19">
        <v>3</v>
      </c>
      <c r="O40" s="19">
        <v>0</v>
      </c>
      <c r="P40" s="19">
        <v>3</v>
      </c>
      <c r="Q40" s="19">
        <f t="shared" si="3"/>
        <v>3</v>
      </c>
      <c r="R40" s="20">
        <f t="shared" si="4"/>
        <v>3</v>
      </c>
      <c r="S40" s="21">
        <f t="shared" si="5"/>
        <v>183</v>
      </c>
      <c r="T40" s="21">
        <f t="shared" si="6"/>
        <v>26</v>
      </c>
      <c r="U40" s="21">
        <f>K40+P40</f>
        <v>18</v>
      </c>
      <c r="V40" s="21">
        <f t="shared" si="7"/>
        <v>-165</v>
      </c>
      <c r="W40" s="11">
        <f>I40+J40+K40</f>
        <v>195</v>
      </c>
      <c r="X40" s="11">
        <f>N40+O40+P40</f>
        <v>6</v>
      </c>
      <c r="Y40" s="12">
        <f t="shared" si="8"/>
        <v>201</v>
      </c>
      <c r="Z40" s="13">
        <f>I40+K40</f>
        <v>169</v>
      </c>
      <c r="AA40" s="13">
        <f>N40+P40</f>
        <v>6</v>
      </c>
      <c r="AB40" s="14">
        <f t="shared" si="9"/>
        <v>175</v>
      </c>
      <c r="AC40" s="35">
        <f>W40/F40</f>
        <v>0.56195965417867433</v>
      </c>
      <c r="AD40" s="35">
        <f>X40/G40</f>
        <v>0.33333333333333331</v>
      </c>
      <c r="AE40" s="15">
        <f>Y40/H40</f>
        <v>0.55068493150684927</v>
      </c>
      <c r="AF40" s="36">
        <f>Z40/F40</f>
        <v>0.48703170028818443</v>
      </c>
      <c r="AG40" s="36">
        <f>AA40/G40</f>
        <v>0.33333333333333331</v>
      </c>
      <c r="AH40" s="15">
        <f>AB40/H40</f>
        <v>0.47945205479452052</v>
      </c>
    </row>
    <row r="41" spans="1:34" x14ac:dyDescent="0.35">
      <c r="A41" s="8">
        <v>38</v>
      </c>
      <c r="B41" s="1" t="s">
        <v>114</v>
      </c>
      <c r="C41" s="1" t="s">
        <v>115</v>
      </c>
      <c r="D41" s="1" t="s">
        <v>15</v>
      </c>
      <c r="E41" s="1" t="s">
        <v>68</v>
      </c>
      <c r="F41" s="9">
        <v>313</v>
      </c>
      <c r="G41" s="9">
        <v>23</v>
      </c>
      <c r="H41" s="10">
        <f t="shared" si="0"/>
        <v>336</v>
      </c>
      <c r="I41" s="17">
        <v>163</v>
      </c>
      <c r="J41" s="17">
        <v>31</v>
      </c>
      <c r="K41" s="17">
        <v>27</v>
      </c>
      <c r="L41" s="17">
        <f t="shared" si="1"/>
        <v>194</v>
      </c>
      <c r="M41" s="18">
        <f t="shared" si="2"/>
        <v>-4</v>
      </c>
      <c r="N41" s="19">
        <v>2</v>
      </c>
      <c r="O41" s="19">
        <v>6</v>
      </c>
      <c r="P41" s="19">
        <v>6</v>
      </c>
      <c r="Q41" s="19">
        <f t="shared" si="3"/>
        <v>8</v>
      </c>
      <c r="R41" s="20">
        <f t="shared" si="4"/>
        <v>0</v>
      </c>
      <c r="S41" s="21">
        <f t="shared" si="5"/>
        <v>202</v>
      </c>
      <c r="T41" s="21">
        <f t="shared" si="6"/>
        <v>37</v>
      </c>
      <c r="U41" s="21">
        <f>K41+P41</f>
        <v>33</v>
      </c>
      <c r="V41" s="21">
        <f t="shared" si="7"/>
        <v>-169</v>
      </c>
      <c r="W41" s="11">
        <f>I41+J41+K41</f>
        <v>221</v>
      </c>
      <c r="X41" s="11">
        <f>N41+O41+P41</f>
        <v>14</v>
      </c>
      <c r="Y41" s="12">
        <f t="shared" si="8"/>
        <v>235</v>
      </c>
      <c r="Z41" s="13">
        <f>I41+K41</f>
        <v>190</v>
      </c>
      <c r="AA41" s="13">
        <f>N41+P41</f>
        <v>8</v>
      </c>
      <c r="AB41" s="14">
        <f t="shared" si="9"/>
        <v>198</v>
      </c>
      <c r="AC41" s="35">
        <f>W41/F41</f>
        <v>0.70607028753993606</v>
      </c>
      <c r="AD41" s="35">
        <f>X41/G41</f>
        <v>0.60869565217391308</v>
      </c>
      <c r="AE41" s="15">
        <f>Y41/H41</f>
        <v>0.69940476190476186</v>
      </c>
      <c r="AF41" s="36">
        <f>Z41/F41</f>
        <v>0.60702875399361023</v>
      </c>
      <c r="AG41" s="36">
        <f>AA41/G41</f>
        <v>0.34782608695652173</v>
      </c>
      <c r="AH41" s="15">
        <f>AB41/H41</f>
        <v>0.5892857142857143</v>
      </c>
    </row>
    <row r="42" spans="1:34" x14ac:dyDescent="0.35">
      <c r="A42" s="8">
        <v>39</v>
      </c>
      <c r="B42" s="1" t="s">
        <v>116</v>
      </c>
      <c r="C42" s="1" t="s">
        <v>117</v>
      </c>
      <c r="D42" s="1" t="s">
        <v>15</v>
      </c>
      <c r="E42" s="1" t="s">
        <v>68</v>
      </c>
      <c r="F42" s="9">
        <v>264</v>
      </c>
      <c r="G42" s="9">
        <v>38</v>
      </c>
      <c r="H42" s="10">
        <f t="shared" si="0"/>
        <v>302</v>
      </c>
      <c r="I42" s="17">
        <v>165</v>
      </c>
      <c r="J42" s="17">
        <v>19</v>
      </c>
      <c r="K42" s="17">
        <v>26</v>
      </c>
      <c r="L42" s="17">
        <f t="shared" si="1"/>
        <v>184</v>
      </c>
      <c r="M42" s="18">
        <f t="shared" si="2"/>
        <v>7</v>
      </c>
      <c r="N42" s="19">
        <v>6</v>
      </c>
      <c r="O42" s="19">
        <v>19</v>
      </c>
      <c r="P42" s="19">
        <v>10</v>
      </c>
      <c r="Q42" s="19">
        <f t="shared" si="3"/>
        <v>25</v>
      </c>
      <c r="R42" s="20">
        <f t="shared" si="4"/>
        <v>-9</v>
      </c>
      <c r="S42" s="21">
        <f t="shared" si="5"/>
        <v>209</v>
      </c>
      <c r="T42" s="21">
        <f t="shared" si="6"/>
        <v>38</v>
      </c>
      <c r="U42" s="21">
        <f>K42+P42</f>
        <v>36</v>
      </c>
      <c r="V42" s="21">
        <f t="shared" si="7"/>
        <v>-173</v>
      </c>
      <c r="W42" s="11">
        <f>I42+J42+K42</f>
        <v>210</v>
      </c>
      <c r="X42" s="11">
        <f>N42+O42+P42</f>
        <v>35</v>
      </c>
      <c r="Y42" s="12">
        <f t="shared" si="8"/>
        <v>245</v>
      </c>
      <c r="Z42" s="13">
        <f>I42+K42</f>
        <v>191</v>
      </c>
      <c r="AA42" s="13">
        <f>N42+P42</f>
        <v>16</v>
      </c>
      <c r="AB42" s="14">
        <f t="shared" si="9"/>
        <v>207</v>
      </c>
      <c r="AC42" s="35">
        <f>W42/F42</f>
        <v>0.79545454545454541</v>
      </c>
      <c r="AD42" s="35">
        <f>X42/G42</f>
        <v>0.92105263157894735</v>
      </c>
      <c r="AE42" s="15">
        <f>Y42/H42</f>
        <v>0.8112582781456954</v>
      </c>
      <c r="AF42" s="36">
        <f>Z42/F42</f>
        <v>0.72348484848484851</v>
      </c>
      <c r="AG42" s="36">
        <f>AA42/G42</f>
        <v>0.42105263157894735</v>
      </c>
      <c r="AH42" s="15">
        <f>AB42/H42</f>
        <v>0.68543046357615889</v>
      </c>
    </row>
    <row r="43" spans="1:34" x14ac:dyDescent="0.35">
      <c r="A43" s="8">
        <v>40</v>
      </c>
      <c r="B43" s="1" t="s">
        <v>118</v>
      </c>
      <c r="C43" s="1" t="s">
        <v>119</v>
      </c>
      <c r="D43" s="1" t="s">
        <v>15</v>
      </c>
      <c r="E43" s="1" t="s">
        <v>37</v>
      </c>
      <c r="F43" s="9">
        <v>260</v>
      </c>
      <c r="G43" s="9">
        <v>92</v>
      </c>
      <c r="H43" s="10">
        <f t="shared" si="0"/>
        <v>352</v>
      </c>
      <c r="I43" s="17">
        <v>82</v>
      </c>
      <c r="J43" s="17">
        <v>15</v>
      </c>
      <c r="K43" s="17">
        <v>64</v>
      </c>
      <c r="L43" s="17">
        <f t="shared" si="1"/>
        <v>97</v>
      </c>
      <c r="M43" s="18">
        <f t="shared" si="2"/>
        <v>49</v>
      </c>
      <c r="N43" s="19">
        <v>5</v>
      </c>
      <c r="O43" s="19">
        <v>25</v>
      </c>
      <c r="P43" s="19">
        <v>12</v>
      </c>
      <c r="Q43" s="19">
        <f t="shared" si="3"/>
        <v>30</v>
      </c>
      <c r="R43" s="20">
        <f t="shared" si="4"/>
        <v>-13</v>
      </c>
      <c r="S43" s="21">
        <f t="shared" si="5"/>
        <v>127</v>
      </c>
      <c r="T43" s="21">
        <f t="shared" si="6"/>
        <v>40</v>
      </c>
      <c r="U43" s="21">
        <f>K43+P43</f>
        <v>76</v>
      </c>
      <c r="V43" s="21">
        <f t="shared" si="7"/>
        <v>-51</v>
      </c>
      <c r="W43" s="11">
        <f>I43+J43+K43</f>
        <v>161</v>
      </c>
      <c r="X43" s="11">
        <f>N43+O43+P43</f>
        <v>42</v>
      </c>
      <c r="Y43" s="12">
        <f t="shared" si="8"/>
        <v>203</v>
      </c>
      <c r="Z43" s="13">
        <f>I43+K43</f>
        <v>146</v>
      </c>
      <c r="AA43" s="13">
        <f>N43+P43</f>
        <v>17</v>
      </c>
      <c r="AB43" s="14">
        <f t="shared" si="9"/>
        <v>163</v>
      </c>
      <c r="AC43" s="35">
        <f>W43/F43</f>
        <v>0.61923076923076925</v>
      </c>
      <c r="AD43" s="35">
        <f>X43/G43</f>
        <v>0.45652173913043476</v>
      </c>
      <c r="AE43" s="15">
        <f>Y43/H43</f>
        <v>0.57670454545454541</v>
      </c>
      <c r="AF43" s="36">
        <f>Z43/F43</f>
        <v>0.56153846153846154</v>
      </c>
      <c r="AG43" s="36">
        <f>AA43/G43</f>
        <v>0.18478260869565216</v>
      </c>
      <c r="AH43" s="15">
        <f>AB43/H43</f>
        <v>0.46306818181818182</v>
      </c>
    </row>
    <row r="44" spans="1:34" x14ac:dyDescent="0.35">
      <c r="A44" s="8">
        <v>41</v>
      </c>
      <c r="B44" s="1" t="s">
        <v>120</v>
      </c>
      <c r="C44" s="1" t="s">
        <v>121</v>
      </c>
      <c r="D44" s="1" t="s">
        <v>15</v>
      </c>
      <c r="E44" s="1" t="s">
        <v>37</v>
      </c>
      <c r="F44" s="9">
        <v>316</v>
      </c>
      <c r="G44" s="9">
        <v>35</v>
      </c>
      <c r="H44" s="10">
        <f t="shared" si="0"/>
        <v>351</v>
      </c>
      <c r="I44" s="17">
        <v>86</v>
      </c>
      <c r="J44" s="17">
        <v>59</v>
      </c>
      <c r="K44" s="17">
        <v>14</v>
      </c>
      <c r="L44" s="17">
        <f t="shared" si="1"/>
        <v>145</v>
      </c>
      <c r="M44" s="18">
        <f t="shared" si="2"/>
        <v>-45</v>
      </c>
      <c r="N44" s="19">
        <v>0</v>
      </c>
      <c r="O44" s="19">
        <v>1</v>
      </c>
      <c r="P44" s="19">
        <v>0</v>
      </c>
      <c r="Q44" s="19">
        <f t="shared" si="3"/>
        <v>1</v>
      </c>
      <c r="R44" s="20">
        <f t="shared" si="4"/>
        <v>-1</v>
      </c>
      <c r="S44" s="21">
        <f t="shared" si="5"/>
        <v>146</v>
      </c>
      <c r="T44" s="21">
        <f t="shared" si="6"/>
        <v>60</v>
      </c>
      <c r="U44" s="21">
        <f>K44+P44</f>
        <v>14</v>
      </c>
      <c r="V44" s="21">
        <f t="shared" si="7"/>
        <v>-132</v>
      </c>
      <c r="W44" s="11">
        <f>I44+J44+K44</f>
        <v>159</v>
      </c>
      <c r="X44" s="11">
        <f>N44+O44+P44</f>
        <v>1</v>
      </c>
      <c r="Y44" s="12">
        <f t="shared" si="8"/>
        <v>160</v>
      </c>
      <c r="Z44" s="13">
        <f>I44+K44</f>
        <v>100</v>
      </c>
      <c r="AA44" s="13">
        <f>N44+P44</f>
        <v>0</v>
      </c>
      <c r="AB44" s="14">
        <f t="shared" si="9"/>
        <v>100</v>
      </c>
      <c r="AC44" s="35">
        <f>W44/F44</f>
        <v>0.50316455696202533</v>
      </c>
      <c r="AD44" s="35">
        <f>X44/G44</f>
        <v>2.8571428571428571E-2</v>
      </c>
      <c r="AE44" s="15">
        <f>Y44/H44</f>
        <v>0.45584045584045585</v>
      </c>
      <c r="AF44" s="36">
        <f>Z44/F44</f>
        <v>0.31645569620253167</v>
      </c>
      <c r="AG44" s="36">
        <f>AA44/G44</f>
        <v>0</v>
      </c>
      <c r="AH44" s="15">
        <f>AB44/H44</f>
        <v>0.28490028490028491</v>
      </c>
    </row>
    <row r="45" spans="1:34" x14ac:dyDescent="0.35">
      <c r="A45" s="8">
        <v>42</v>
      </c>
      <c r="B45" s="1" t="s">
        <v>122</v>
      </c>
      <c r="C45" s="1" t="s">
        <v>123</v>
      </c>
      <c r="D45" s="1" t="s">
        <v>15</v>
      </c>
      <c r="E45" s="1" t="s">
        <v>101</v>
      </c>
      <c r="F45" s="9">
        <v>397</v>
      </c>
      <c r="G45" s="9">
        <v>36</v>
      </c>
      <c r="H45" s="10">
        <f t="shared" si="0"/>
        <v>433</v>
      </c>
      <c r="I45" s="17">
        <v>155</v>
      </c>
      <c r="J45" s="17">
        <v>42</v>
      </c>
      <c r="K45" s="17">
        <v>10</v>
      </c>
      <c r="L45" s="17">
        <f t="shared" si="1"/>
        <v>197</v>
      </c>
      <c r="M45" s="18">
        <f t="shared" si="2"/>
        <v>-32</v>
      </c>
      <c r="N45" s="19">
        <v>7</v>
      </c>
      <c r="O45" s="19">
        <v>7</v>
      </c>
      <c r="P45" s="19">
        <v>8</v>
      </c>
      <c r="Q45" s="19">
        <f t="shared" si="3"/>
        <v>14</v>
      </c>
      <c r="R45" s="20">
        <f t="shared" si="4"/>
        <v>1</v>
      </c>
      <c r="S45" s="21">
        <f t="shared" si="5"/>
        <v>211</v>
      </c>
      <c r="T45" s="21">
        <f t="shared" si="6"/>
        <v>49</v>
      </c>
      <c r="U45" s="21">
        <f>K45+P45</f>
        <v>18</v>
      </c>
      <c r="V45" s="21">
        <f t="shared" si="7"/>
        <v>-193</v>
      </c>
      <c r="W45" s="11">
        <f>I45+J45+K45</f>
        <v>207</v>
      </c>
      <c r="X45" s="11">
        <f>N45+O45+P45</f>
        <v>22</v>
      </c>
      <c r="Y45" s="12">
        <f t="shared" si="8"/>
        <v>229</v>
      </c>
      <c r="Z45" s="13">
        <f>I45+K45</f>
        <v>165</v>
      </c>
      <c r="AA45" s="13">
        <f>N45+P45</f>
        <v>15</v>
      </c>
      <c r="AB45" s="14">
        <f t="shared" si="9"/>
        <v>180</v>
      </c>
      <c r="AC45" s="35">
        <f>W45/F45</f>
        <v>0.52141057934508817</v>
      </c>
      <c r="AD45" s="35">
        <f>X45/G45</f>
        <v>0.61111111111111116</v>
      </c>
      <c r="AE45" s="15">
        <f>Y45/H45</f>
        <v>0.52886836027713624</v>
      </c>
      <c r="AF45" s="36">
        <f>Z45/F45</f>
        <v>0.41561712846347609</v>
      </c>
      <c r="AG45" s="36">
        <f>AA45/G45</f>
        <v>0.41666666666666669</v>
      </c>
      <c r="AH45" s="15">
        <f>AB45/H45</f>
        <v>0.41570438799076215</v>
      </c>
    </row>
    <row r="46" spans="1:34" x14ac:dyDescent="0.35">
      <c r="A46" s="8">
        <v>43</v>
      </c>
      <c r="B46" s="1" t="s">
        <v>126</v>
      </c>
      <c r="C46" s="1" t="s">
        <v>127</v>
      </c>
      <c r="D46" s="1" t="s">
        <v>15</v>
      </c>
      <c r="E46" s="1" t="s">
        <v>16</v>
      </c>
      <c r="F46" s="9">
        <v>322</v>
      </c>
      <c r="G46" s="9">
        <v>58</v>
      </c>
      <c r="H46" s="10">
        <f t="shared" si="0"/>
        <v>380</v>
      </c>
      <c r="I46" s="17">
        <v>115</v>
      </c>
      <c r="J46" s="17">
        <v>42</v>
      </c>
      <c r="K46" s="17">
        <v>9</v>
      </c>
      <c r="L46" s="17">
        <f t="shared" si="1"/>
        <v>157</v>
      </c>
      <c r="M46" s="18">
        <f t="shared" si="2"/>
        <v>-33</v>
      </c>
      <c r="N46" s="19">
        <v>13</v>
      </c>
      <c r="O46" s="19">
        <v>21</v>
      </c>
      <c r="P46" s="19">
        <v>15</v>
      </c>
      <c r="Q46" s="19">
        <f t="shared" si="3"/>
        <v>34</v>
      </c>
      <c r="R46" s="20">
        <f t="shared" si="4"/>
        <v>-6</v>
      </c>
      <c r="S46" s="21">
        <f t="shared" si="5"/>
        <v>191</v>
      </c>
      <c r="T46" s="21">
        <f t="shared" si="6"/>
        <v>63</v>
      </c>
      <c r="U46" s="21">
        <f>K46+P46</f>
        <v>24</v>
      </c>
      <c r="V46" s="21">
        <f t="shared" si="7"/>
        <v>-167</v>
      </c>
      <c r="W46" s="11">
        <f>I46+J46+K46</f>
        <v>166</v>
      </c>
      <c r="X46" s="11">
        <f>N46+O46+P46</f>
        <v>49</v>
      </c>
      <c r="Y46" s="12">
        <f t="shared" si="8"/>
        <v>215</v>
      </c>
      <c r="Z46" s="13">
        <f>I46+K46</f>
        <v>124</v>
      </c>
      <c r="AA46" s="13">
        <f>N46+P46</f>
        <v>28</v>
      </c>
      <c r="AB46" s="14">
        <f t="shared" si="9"/>
        <v>152</v>
      </c>
      <c r="AC46" s="35">
        <f>W46/F46</f>
        <v>0.51552795031055898</v>
      </c>
      <c r="AD46" s="35">
        <f>X46/G46</f>
        <v>0.84482758620689657</v>
      </c>
      <c r="AE46" s="15">
        <f>Y46/H46</f>
        <v>0.56578947368421051</v>
      </c>
      <c r="AF46" s="36">
        <f>Z46/F46</f>
        <v>0.38509316770186336</v>
      </c>
      <c r="AG46" s="36">
        <f>AA46/G46</f>
        <v>0.48275862068965519</v>
      </c>
      <c r="AH46" s="15">
        <f>AB46/H46</f>
        <v>0.4</v>
      </c>
    </row>
    <row r="47" spans="1:34" x14ac:dyDescent="0.35">
      <c r="A47" s="8">
        <v>44</v>
      </c>
      <c r="B47" s="1" t="s">
        <v>128</v>
      </c>
      <c r="C47" s="1" t="s">
        <v>129</v>
      </c>
      <c r="D47" s="1" t="s">
        <v>15</v>
      </c>
      <c r="E47" s="1" t="s">
        <v>16</v>
      </c>
      <c r="F47" s="9">
        <v>201</v>
      </c>
      <c r="G47" s="9">
        <v>209</v>
      </c>
      <c r="H47" s="10">
        <f t="shared" si="0"/>
        <v>410</v>
      </c>
      <c r="I47" s="17">
        <v>108</v>
      </c>
      <c r="J47" s="17">
        <v>50</v>
      </c>
      <c r="K47" s="17">
        <v>20</v>
      </c>
      <c r="L47" s="17">
        <f t="shared" si="1"/>
        <v>158</v>
      </c>
      <c r="M47" s="18">
        <f t="shared" si="2"/>
        <v>-30</v>
      </c>
      <c r="N47" s="19">
        <v>11</v>
      </c>
      <c r="O47" s="19">
        <v>23</v>
      </c>
      <c r="P47" s="19">
        <v>20</v>
      </c>
      <c r="Q47" s="19">
        <f t="shared" si="3"/>
        <v>34</v>
      </c>
      <c r="R47" s="20">
        <f t="shared" si="4"/>
        <v>-3</v>
      </c>
      <c r="S47" s="21">
        <f t="shared" si="5"/>
        <v>192</v>
      </c>
      <c r="T47" s="21">
        <f t="shared" si="6"/>
        <v>73</v>
      </c>
      <c r="U47" s="21">
        <f>K47+P47</f>
        <v>40</v>
      </c>
      <c r="V47" s="21">
        <f t="shared" si="7"/>
        <v>-152</v>
      </c>
      <c r="W47" s="11">
        <f>I47+J47+K47</f>
        <v>178</v>
      </c>
      <c r="X47" s="11">
        <f>N47+O47+P47</f>
        <v>54</v>
      </c>
      <c r="Y47" s="12">
        <f t="shared" si="8"/>
        <v>232</v>
      </c>
      <c r="Z47" s="13">
        <f>I47+K47</f>
        <v>128</v>
      </c>
      <c r="AA47" s="13">
        <f>N47+P47</f>
        <v>31</v>
      </c>
      <c r="AB47" s="14">
        <f t="shared" si="9"/>
        <v>159</v>
      </c>
      <c r="AC47" s="35">
        <f>W47/F47</f>
        <v>0.88557213930348255</v>
      </c>
      <c r="AD47" s="35">
        <f>X47/G47</f>
        <v>0.25837320574162681</v>
      </c>
      <c r="AE47" s="15">
        <f>Y47/H47</f>
        <v>0.56585365853658531</v>
      </c>
      <c r="AF47" s="36">
        <f>Z47/F47</f>
        <v>0.63681592039800994</v>
      </c>
      <c r="AG47" s="36">
        <f>AA47/G47</f>
        <v>0.14832535885167464</v>
      </c>
      <c r="AH47" s="15">
        <f>AB47/H47</f>
        <v>0.3878048780487805</v>
      </c>
    </row>
    <row r="48" spans="1:34" x14ac:dyDescent="0.35">
      <c r="A48" s="8">
        <v>45</v>
      </c>
      <c r="B48" s="1" t="s">
        <v>132</v>
      </c>
      <c r="C48" s="1" t="s">
        <v>133</v>
      </c>
      <c r="D48" s="1" t="s">
        <v>15</v>
      </c>
      <c r="E48" s="1" t="s">
        <v>34</v>
      </c>
      <c r="F48" s="9">
        <v>328</v>
      </c>
      <c r="G48" s="9">
        <v>27</v>
      </c>
      <c r="H48" s="10">
        <f t="shared" si="0"/>
        <v>355</v>
      </c>
      <c r="I48" s="17">
        <v>107</v>
      </c>
      <c r="J48" s="17">
        <v>18</v>
      </c>
      <c r="K48" s="17">
        <v>16</v>
      </c>
      <c r="L48" s="17">
        <f t="shared" si="1"/>
        <v>125</v>
      </c>
      <c r="M48" s="18">
        <f t="shared" si="2"/>
        <v>-2</v>
      </c>
      <c r="N48" s="19">
        <v>4</v>
      </c>
      <c r="O48" s="19">
        <v>4</v>
      </c>
      <c r="P48" s="19">
        <v>4</v>
      </c>
      <c r="Q48" s="19">
        <f t="shared" si="3"/>
        <v>8</v>
      </c>
      <c r="R48" s="20">
        <f t="shared" si="4"/>
        <v>0</v>
      </c>
      <c r="S48" s="21">
        <f t="shared" si="5"/>
        <v>133</v>
      </c>
      <c r="T48" s="21">
        <f t="shared" si="6"/>
        <v>22</v>
      </c>
      <c r="U48" s="21">
        <f>K48+P48</f>
        <v>20</v>
      </c>
      <c r="V48" s="21">
        <f t="shared" si="7"/>
        <v>-113</v>
      </c>
      <c r="W48" s="11">
        <f>I48+J48+K48</f>
        <v>141</v>
      </c>
      <c r="X48" s="11">
        <f>N48+O48+P48</f>
        <v>12</v>
      </c>
      <c r="Y48" s="12">
        <f t="shared" si="8"/>
        <v>153</v>
      </c>
      <c r="Z48" s="13">
        <f>I48+K48</f>
        <v>123</v>
      </c>
      <c r="AA48" s="13">
        <f>N48+P48</f>
        <v>8</v>
      </c>
      <c r="AB48" s="14">
        <f t="shared" si="9"/>
        <v>131</v>
      </c>
      <c r="AC48" s="35">
        <f>W48/F48</f>
        <v>0.4298780487804878</v>
      </c>
      <c r="AD48" s="35">
        <f>X48/G48</f>
        <v>0.44444444444444442</v>
      </c>
      <c r="AE48" s="15">
        <f>Y48/H48</f>
        <v>0.43098591549295773</v>
      </c>
      <c r="AF48" s="36">
        <f>Z48/F48</f>
        <v>0.375</v>
      </c>
      <c r="AG48" s="36">
        <f>AA48/G48</f>
        <v>0.29629629629629628</v>
      </c>
      <c r="AH48" s="15">
        <f>AB48/H48</f>
        <v>0.36901408450704226</v>
      </c>
    </row>
    <row r="49" spans="1:34" x14ac:dyDescent="0.35">
      <c r="A49" s="8">
        <v>46</v>
      </c>
      <c r="B49" s="1" t="s">
        <v>134</v>
      </c>
      <c r="C49" s="1" t="s">
        <v>135</v>
      </c>
      <c r="D49" s="1" t="s">
        <v>15</v>
      </c>
      <c r="E49" s="1" t="s">
        <v>51</v>
      </c>
      <c r="F49" s="9">
        <v>344</v>
      </c>
      <c r="G49" s="9">
        <v>13</v>
      </c>
      <c r="H49" s="10">
        <f t="shared" si="0"/>
        <v>357</v>
      </c>
      <c r="I49" s="17">
        <v>155</v>
      </c>
      <c r="J49" s="17">
        <v>85</v>
      </c>
      <c r="K49" s="17">
        <v>6</v>
      </c>
      <c r="L49" s="17">
        <f t="shared" si="1"/>
        <v>240</v>
      </c>
      <c r="M49" s="18">
        <f t="shared" si="2"/>
        <v>-79</v>
      </c>
      <c r="N49" s="19">
        <v>1</v>
      </c>
      <c r="O49" s="19">
        <v>5</v>
      </c>
      <c r="P49" s="19">
        <v>6</v>
      </c>
      <c r="Q49" s="19">
        <f t="shared" si="3"/>
        <v>6</v>
      </c>
      <c r="R49" s="20">
        <f t="shared" si="4"/>
        <v>1</v>
      </c>
      <c r="S49" s="21">
        <f t="shared" si="5"/>
        <v>246</v>
      </c>
      <c r="T49" s="21">
        <f t="shared" si="6"/>
        <v>90</v>
      </c>
      <c r="U49" s="21">
        <f>K49+P49</f>
        <v>12</v>
      </c>
      <c r="V49" s="21">
        <f t="shared" si="7"/>
        <v>-234</v>
      </c>
      <c r="W49" s="11">
        <f>I49+J49+K49</f>
        <v>246</v>
      </c>
      <c r="X49" s="11">
        <f>N49+O49+P49</f>
        <v>12</v>
      </c>
      <c r="Y49" s="12">
        <f t="shared" si="8"/>
        <v>258</v>
      </c>
      <c r="Z49" s="13">
        <f>I49+K49</f>
        <v>161</v>
      </c>
      <c r="AA49" s="13">
        <f>N49+P49</f>
        <v>7</v>
      </c>
      <c r="AB49" s="14">
        <f t="shared" si="9"/>
        <v>168</v>
      </c>
      <c r="AC49" s="35">
        <f>W49/F49</f>
        <v>0.71511627906976749</v>
      </c>
      <c r="AD49" s="35">
        <f>X49/G49</f>
        <v>0.92307692307692313</v>
      </c>
      <c r="AE49" s="15">
        <f>Y49/H49</f>
        <v>0.72268907563025209</v>
      </c>
      <c r="AF49" s="36">
        <f>Z49/F49</f>
        <v>0.46802325581395349</v>
      </c>
      <c r="AG49" s="36">
        <f>AA49/G49</f>
        <v>0.53846153846153844</v>
      </c>
      <c r="AH49" s="15">
        <f>AB49/H49</f>
        <v>0.47058823529411764</v>
      </c>
    </row>
    <row r="50" spans="1:34" x14ac:dyDescent="0.35">
      <c r="A50" s="8">
        <v>47</v>
      </c>
      <c r="B50" s="1" t="s">
        <v>136</v>
      </c>
      <c r="C50" s="1" t="s">
        <v>137</v>
      </c>
      <c r="D50" s="1" t="s">
        <v>15</v>
      </c>
      <c r="E50" s="1" t="s">
        <v>29</v>
      </c>
      <c r="F50" s="9">
        <v>343</v>
      </c>
      <c r="G50" s="9">
        <v>27</v>
      </c>
      <c r="H50" s="10">
        <f t="shared" si="0"/>
        <v>370</v>
      </c>
      <c r="I50" s="17">
        <v>120</v>
      </c>
      <c r="J50" s="17">
        <v>19</v>
      </c>
      <c r="K50" s="17">
        <v>26</v>
      </c>
      <c r="L50" s="17">
        <f t="shared" si="1"/>
        <v>139</v>
      </c>
      <c r="M50" s="18">
        <f t="shared" si="2"/>
        <v>7</v>
      </c>
      <c r="N50" s="19">
        <v>6</v>
      </c>
      <c r="O50" s="19">
        <v>4</v>
      </c>
      <c r="P50" s="19">
        <v>14</v>
      </c>
      <c r="Q50" s="19">
        <f t="shared" si="3"/>
        <v>10</v>
      </c>
      <c r="R50" s="20">
        <f t="shared" si="4"/>
        <v>10</v>
      </c>
      <c r="S50" s="21">
        <f t="shared" si="5"/>
        <v>149</v>
      </c>
      <c r="T50" s="21">
        <f t="shared" si="6"/>
        <v>23</v>
      </c>
      <c r="U50" s="21">
        <f>K50+P50</f>
        <v>40</v>
      </c>
      <c r="V50" s="21">
        <f t="shared" si="7"/>
        <v>-109</v>
      </c>
      <c r="W50" s="11">
        <f>I50+J50+K50</f>
        <v>165</v>
      </c>
      <c r="X50" s="11">
        <f>N50+O50+P50</f>
        <v>24</v>
      </c>
      <c r="Y50" s="12">
        <f t="shared" si="8"/>
        <v>189</v>
      </c>
      <c r="Z50" s="13">
        <f>I50+K50</f>
        <v>146</v>
      </c>
      <c r="AA50" s="13">
        <f>N50+P50</f>
        <v>20</v>
      </c>
      <c r="AB50" s="14">
        <f t="shared" si="9"/>
        <v>166</v>
      </c>
      <c r="AC50" s="35">
        <f>W50/F50</f>
        <v>0.48104956268221577</v>
      </c>
      <c r="AD50" s="35">
        <f>X50/G50</f>
        <v>0.88888888888888884</v>
      </c>
      <c r="AE50" s="15">
        <f>Y50/H50</f>
        <v>0.51081081081081081</v>
      </c>
      <c r="AF50" s="36">
        <f>Z50/F50</f>
        <v>0.42565597667638483</v>
      </c>
      <c r="AG50" s="36">
        <f>AA50/G50</f>
        <v>0.7407407407407407</v>
      </c>
      <c r="AH50" s="15">
        <f>AB50/H50</f>
        <v>0.44864864864864867</v>
      </c>
    </row>
    <row r="51" spans="1:34" x14ac:dyDescent="0.35">
      <c r="A51" s="8">
        <v>48</v>
      </c>
      <c r="B51" s="1" t="s">
        <v>138</v>
      </c>
      <c r="C51" s="1" t="s">
        <v>139</v>
      </c>
      <c r="D51" s="1" t="s">
        <v>15</v>
      </c>
      <c r="E51" s="1" t="s">
        <v>51</v>
      </c>
      <c r="F51" s="9">
        <v>395</v>
      </c>
      <c r="G51" s="9">
        <v>8</v>
      </c>
      <c r="H51" s="10">
        <f t="shared" si="0"/>
        <v>403</v>
      </c>
      <c r="I51" s="17">
        <v>148</v>
      </c>
      <c r="J51" s="17">
        <v>99</v>
      </c>
      <c r="K51" s="17">
        <v>44</v>
      </c>
      <c r="L51" s="17">
        <f t="shared" si="1"/>
        <v>247</v>
      </c>
      <c r="M51" s="18">
        <f t="shared" si="2"/>
        <v>-55</v>
      </c>
      <c r="N51" s="19">
        <v>2</v>
      </c>
      <c r="O51" s="19">
        <v>3</v>
      </c>
      <c r="P51" s="19">
        <v>10</v>
      </c>
      <c r="Q51" s="19">
        <f t="shared" si="3"/>
        <v>5</v>
      </c>
      <c r="R51" s="20">
        <f t="shared" si="4"/>
        <v>7</v>
      </c>
      <c r="S51" s="21">
        <f t="shared" si="5"/>
        <v>252</v>
      </c>
      <c r="T51" s="21">
        <f t="shared" si="6"/>
        <v>102</v>
      </c>
      <c r="U51" s="21">
        <f>K51+P51</f>
        <v>54</v>
      </c>
      <c r="V51" s="21">
        <f t="shared" si="7"/>
        <v>-198</v>
      </c>
      <c r="W51" s="11">
        <f>I51+J51+K51</f>
        <v>291</v>
      </c>
      <c r="X51" s="11">
        <f>N51+O51+P51</f>
        <v>15</v>
      </c>
      <c r="Y51" s="12">
        <f t="shared" si="8"/>
        <v>306</v>
      </c>
      <c r="Z51" s="13">
        <f>I51+K51</f>
        <v>192</v>
      </c>
      <c r="AA51" s="13">
        <f>N51+P51</f>
        <v>12</v>
      </c>
      <c r="AB51" s="14">
        <f t="shared" si="9"/>
        <v>204</v>
      </c>
      <c r="AC51" s="35">
        <f>W51/F51</f>
        <v>0.73670886075949371</v>
      </c>
      <c r="AD51" s="35">
        <f>X51/G51</f>
        <v>1.875</v>
      </c>
      <c r="AE51" s="15">
        <f>Y51/H51</f>
        <v>0.75930521091811409</v>
      </c>
      <c r="AF51" s="36">
        <f>Z51/F51</f>
        <v>0.48607594936708859</v>
      </c>
      <c r="AG51" s="36">
        <f>AA51/G51</f>
        <v>1.5</v>
      </c>
      <c r="AH51" s="15">
        <f>AB51/H51</f>
        <v>0.50620347394540943</v>
      </c>
    </row>
    <row r="52" spans="1:34" x14ac:dyDescent="0.35">
      <c r="A52" s="8">
        <v>49</v>
      </c>
      <c r="B52" s="1" t="s">
        <v>140</v>
      </c>
      <c r="C52" s="1" t="s">
        <v>141</v>
      </c>
      <c r="D52" s="1" t="s">
        <v>15</v>
      </c>
      <c r="E52" s="1" t="s">
        <v>37</v>
      </c>
      <c r="F52" s="9">
        <v>322</v>
      </c>
      <c r="G52" s="9">
        <v>32</v>
      </c>
      <c r="H52" s="10">
        <f t="shared" si="0"/>
        <v>354</v>
      </c>
      <c r="I52" s="17">
        <v>155</v>
      </c>
      <c r="J52" s="17">
        <v>19</v>
      </c>
      <c r="K52" s="17">
        <v>30</v>
      </c>
      <c r="L52" s="17">
        <f t="shared" si="1"/>
        <v>174</v>
      </c>
      <c r="M52" s="18">
        <f t="shared" si="2"/>
        <v>11</v>
      </c>
      <c r="N52" s="19">
        <v>1</v>
      </c>
      <c r="O52" s="19">
        <v>8</v>
      </c>
      <c r="P52" s="19">
        <v>5</v>
      </c>
      <c r="Q52" s="19">
        <f t="shared" si="3"/>
        <v>9</v>
      </c>
      <c r="R52" s="20">
        <f t="shared" si="4"/>
        <v>-3</v>
      </c>
      <c r="S52" s="21">
        <f t="shared" si="5"/>
        <v>183</v>
      </c>
      <c r="T52" s="21">
        <f t="shared" si="6"/>
        <v>27</v>
      </c>
      <c r="U52" s="21">
        <f>K52+P52</f>
        <v>35</v>
      </c>
      <c r="V52" s="21">
        <f t="shared" si="7"/>
        <v>-148</v>
      </c>
      <c r="W52" s="11">
        <f>I52+J52+K52</f>
        <v>204</v>
      </c>
      <c r="X52" s="11">
        <f>N52+O52+P52</f>
        <v>14</v>
      </c>
      <c r="Y52" s="12">
        <f t="shared" si="8"/>
        <v>218</v>
      </c>
      <c r="Z52" s="13">
        <f>I52+K52</f>
        <v>185</v>
      </c>
      <c r="AA52" s="13">
        <f>N52+P52</f>
        <v>6</v>
      </c>
      <c r="AB52" s="14">
        <f t="shared" si="9"/>
        <v>191</v>
      </c>
      <c r="AC52" s="35">
        <f>W52/F52</f>
        <v>0.63354037267080743</v>
      </c>
      <c r="AD52" s="35">
        <f>X52/G52</f>
        <v>0.4375</v>
      </c>
      <c r="AE52" s="15">
        <f>Y52/H52</f>
        <v>0.61581920903954801</v>
      </c>
      <c r="AF52" s="36">
        <f>Z52/F52</f>
        <v>0.57453416149068326</v>
      </c>
      <c r="AG52" s="36">
        <f>AA52/G52</f>
        <v>0.1875</v>
      </c>
      <c r="AH52" s="15">
        <f>AB52/H52</f>
        <v>0.53954802259887003</v>
      </c>
    </row>
    <row r="53" spans="1:34" x14ac:dyDescent="0.35">
      <c r="A53" s="8">
        <v>50</v>
      </c>
      <c r="B53" s="1" t="s">
        <v>144</v>
      </c>
      <c r="C53" s="1" t="s">
        <v>145</v>
      </c>
      <c r="D53" s="1" t="s">
        <v>15</v>
      </c>
      <c r="E53" s="1" t="s">
        <v>146</v>
      </c>
      <c r="F53" s="9">
        <v>411</v>
      </c>
      <c r="G53" s="9">
        <v>41</v>
      </c>
      <c r="H53" s="10">
        <f t="shared" si="0"/>
        <v>452</v>
      </c>
      <c r="I53" s="17">
        <v>141</v>
      </c>
      <c r="J53" s="17">
        <v>41</v>
      </c>
      <c r="K53" s="17">
        <v>33</v>
      </c>
      <c r="L53" s="17">
        <f t="shared" si="1"/>
        <v>182</v>
      </c>
      <c r="M53" s="18">
        <f t="shared" si="2"/>
        <v>-8</v>
      </c>
      <c r="N53" s="19">
        <v>15</v>
      </c>
      <c r="O53" s="19">
        <v>18</v>
      </c>
      <c r="P53" s="19">
        <v>22</v>
      </c>
      <c r="Q53" s="19">
        <f t="shared" si="3"/>
        <v>33</v>
      </c>
      <c r="R53" s="20">
        <f t="shared" si="4"/>
        <v>4</v>
      </c>
      <c r="S53" s="21">
        <f t="shared" si="5"/>
        <v>215</v>
      </c>
      <c r="T53" s="21">
        <f t="shared" si="6"/>
        <v>59</v>
      </c>
      <c r="U53" s="21">
        <f>K53+P53</f>
        <v>55</v>
      </c>
      <c r="V53" s="21">
        <f t="shared" si="7"/>
        <v>-160</v>
      </c>
      <c r="W53" s="11">
        <f>I53+J53+K53</f>
        <v>215</v>
      </c>
      <c r="X53" s="11">
        <f>N53+O53+P53</f>
        <v>55</v>
      </c>
      <c r="Y53" s="12">
        <f t="shared" si="8"/>
        <v>270</v>
      </c>
      <c r="Z53" s="13">
        <f>I53+K53</f>
        <v>174</v>
      </c>
      <c r="AA53" s="13">
        <f>N53+P53</f>
        <v>37</v>
      </c>
      <c r="AB53" s="14">
        <f t="shared" si="9"/>
        <v>211</v>
      </c>
      <c r="AC53" s="35">
        <f>W53/F53</f>
        <v>0.52311435523114358</v>
      </c>
      <c r="AD53" s="35">
        <f>X53/G53</f>
        <v>1.3414634146341464</v>
      </c>
      <c r="AE53" s="15">
        <f>Y53/H53</f>
        <v>0.59734513274336287</v>
      </c>
      <c r="AF53" s="36">
        <f>Z53/F53</f>
        <v>0.42335766423357662</v>
      </c>
      <c r="AG53" s="36">
        <f>AA53/G53</f>
        <v>0.90243902439024393</v>
      </c>
      <c r="AH53" s="15">
        <f>AB53/H53</f>
        <v>0.4668141592920354</v>
      </c>
    </row>
    <row r="54" spans="1:34" x14ac:dyDescent="0.35">
      <c r="A54" s="8">
        <v>51</v>
      </c>
      <c r="B54" s="1" t="s">
        <v>147</v>
      </c>
      <c r="C54" s="1" t="s">
        <v>148</v>
      </c>
      <c r="D54" s="1" t="s">
        <v>15</v>
      </c>
      <c r="E54" s="1" t="s">
        <v>16</v>
      </c>
      <c r="F54" s="9">
        <v>340</v>
      </c>
      <c r="G54" s="9">
        <v>57</v>
      </c>
      <c r="H54" s="10">
        <f t="shared" si="0"/>
        <v>397</v>
      </c>
      <c r="I54" s="17">
        <v>98</v>
      </c>
      <c r="J54" s="17">
        <v>38</v>
      </c>
      <c r="K54" s="17">
        <v>43</v>
      </c>
      <c r="L54" s="17">
        <f t="shared" si="1"/>
        <v>136</v>
      </c>
      <c r="M54" s="18">
        <f t="shared" si="2"/>
        <v>5</v>
      </c>
      <c r="N54" s="19">
        <v>4</v>
      </c>
      <c r="O54" s="19">
        <v>7</v>
      </c>
      <c r="P54" s="19">
        <v>6</v>
      </c>
      <c r="Q54" s="19">
        <f t="shared" si="3"/>
        <v>11</v>
      </c>
      <c r="R54" s="20">
        <f t="shared" si="4"/>
        <v>-1</v>
      </c>
      <c r="S54" s="21">
        <f t="shared" si="5"/>
        <v>147</v>
      </c>
      <c r="T54" s="21">
        <f t="shared" si="6"/>
        <v>45</v>
      </c>
      <c r="U54" s="21">
        <f>K54+P54</f>
        <v>49</v>
      </c>
      <c r="V54" s="21">
        <f t="shared" si="7"/>
        <v>-98</v>
      </c>
      <c r="W54" s="11">
        <f>I54+J54+K54</f>
        <v>179</v>
      </c>
      <c r="X54" s="11">
        <f>N54+O54+P54</f>
        <v>17</v>
      </c>
      <c r="Y54" s="12">
        <f t="shared" si="8"/>
        <v>196</v>
      </c>
      <c r="Z54" s="13">
        <f>I54+K54</f>
        <v>141</v>
      </c>
      <c r="AA54" s="13">
        <f>N54+P54</f>
        <v>10</v>
      </c>
      <c r="AB54" s="14">
        <f t="shared" si="9"/>
        <v>151</v>
      </c>
      <c r="AC54" s="35">
        <f>W54/F54</f>
        <v>0.52647058823529413</v>
      </c>
      <c r="AD54" s="35">
        <f>X54/G54</f>
        <v>0.2982456140350877</v>
      </c>
      <c r="AE54" s="15">
        <f>Y54/H54</f>
        <v>0.49370277078085645</v>
      </c>
      <c r="AF54" s="36">
        <f>Z54/F54</f>
        <v>0.4147058823529412</v>
      </c>
      <c r="AG54" s="36">
        <f>AA54/G54</f>
        <v>0.17543859649122806</v>
      </c>
      <c r="AH54" s="15">
        <f>AB54/H54</f>
        <v>0.38035264483627201</v>
      </c>
    </row>
    <row r="55" spans="1:34" x14ac:dyDescent="0.35">
      <c r="A55" s="8">
        <v>52</v>
      </c>
      <c r="B55" s="1" t="s">
        <v>153</v>
      </c>
      <c r="C55" s="1" t="s">
        <v>154</v>
      </c>
      <c r="D55" s="1" t="s">
        <v>15</v>
      </c>
      <c r="E55" s="1" t="s">
        <v>29</v>
      </c>
      <c r="F55" s="9">
        <v>292</v>
      </c>
      <c r="G55" s="9">
        <v>14</v>
      </c>
      <c r="H55" s="10">
        <f t="shared" si="0"/>
        <v>306</v>
      </c>
      <c r="I55" s="17">
        <v>109</v>
      </c>
      <c r="J55" s="17">
        <v>30</v>
      </c>
      <c r="K55" s="17">
        <v>21</v>
      </c>
      <c r="L55" s="17">
        <f t="shared" si="1"/>
        <v>139</v>
      </c>
      <c r="M55" s="18">
        <f t="shared" si="2"/>
        <v>-9</v>
      </c>
      <c r="N55" s="19">
        <v>4</v>
      </c>
      <c r="O55" s="19">
        <v>1</v>
      </c>
      <c r="P55" s="19">
        <v>5</v>
      </c>
      <c r="Q55" s="19">
        <f t="shared" si="3"/>
        <v>5</v>
      </c>
      <c r="R55" s="20">
        <f t="shared" si="4"/>
        <v>4</v>
      </c>
      <c r="S55" s="21">
        <f t="shared" si="5"/>
        <v>144</v>
      </c>
      <c r="T55" s="21">
        <f t="shared" si="6"/>
        <v>31</v>
      </c>
      <c r="U55" s="21">
        <f>K55+P55</f>
        <v>26</v>
      </c>
      <c r="V55" s="21">
        <f t="shared" si="7"/>
        <v>-118</v>
      </c>
      <c r="W55" s="11">
        <f>I55+J55+K55</f>
        <v>160</v>
      </c>
      <c r="X55" s="11">
        <f>N55+O55+P55</f>
        <v>10</v>
      </c>
      <c r="Y55" s="12">
        <f t="shared" si="8"/>
        <v>170</v>
      </c>
      <c r="Z55" s="13">
        <f>I55+K55</f>
        <v>130</v>
      </c>
      <c r="AA55" s="13">
        <f>N55+P55</f>
        <v>9</v>
      </c>
      <c r="AB55" s="14">
        <f t="shared" si="9"/>
        <v>139</v>
      </c>
      <c r="AC55" s="35">
        <f>W55/F55</f>
        <v>0.54794520547945202</v>
      </c>
      <c r="AD55" s="35">
        <f>X55/G55</f>
        <v>0.7142857142857143</v>
      </c>
      <c r="AE55" s="15">
        <f>Y55/H55</f>
        <v>0.55555555555555558</v>
      </c>
      <c r="AF55" s="36">
        <f>Z55/F55</f>
        <v>0.4452054794520548</v>
      </c>
      <c r="AG55" s="36">
        <f>AA55/G55</f>
        <v>0.6428571428571429</v>
      </c>
      <c r="AH55" s="15">
        <f>AB55/H55</f>
        <v>0.45424836601307189</v>
      </c>
    </row>
    <row r="56" spans="1:34" x14ac:dyDescent="0.35">
      <c r="A56" s="8">
        <v>53</v>
      </c>
      <c r="B56" s="1" t="s">
        <v>158</v>
      </c>
      <c r="C56" s="1" t="s">
        <v>159</v>
      </c>
      <c r="D56" s="1" t="s">
        <v>15</v>
      </c>
      <c r="E56" s="1" t="s">
        <v>29</v>
      </c>
      <c r="F56" s="9">
        <v>308</v>
      </c>
      <c r="G56" s="9">
        <v>44</v>
      </c>
      <c r="H56" s="10">
        <f t="shared" si="0"/>
        <v>352</v>
      </c>
      <c r="I56" s="17">
        <v>89</v>
      </c>
      <c r="J56" s="17">
        <v>26</v>
      </c>
      <c r="K56" s="17">
        <v>23</v>
      </c>
      <c r="L56" s="17">
        <f t="shared" si="1"/>
        <v>115</v>
      </c>
      <c r="M56" s="18">
        <f t="shared" si="2"/>
        <v>-3</v>
      </c>
      <c r="N56" s="19">
        <v>3</v>
      </c>
      <c r="O56" s="19">
        <v>6</v>
      </c>
      <c r="P56" s="19">
        <v>11</v>
      </c>
      <c r="Q56" s="19">
        <f t="shared" si="3"/>
        <v>9</v>
      </c>
      <c r="R56" s="20">
        <f t="shared" si="4"/>
        <v>5</v>
      </c>
      <c r="S56" s="21">
        <f t="shared" si="5"/>
        <v>124</v>
      </c>
      <c r="T56" s="21">
        <f t="shared" si="6"/>
        <v>32</v>
      </c>
      <c r="U56" s="21">
        <f>K56+P56</f>
        <v>34</v>
      </c>
      <c r="V56" s="21">
        <f t="shared" si="7"/>
        <v>-90</v>
      </c>
      <c r="W56" s="11">
        <f>I56+J56+K56</f>
        <v>138</v>
      </c>
      <c r="X56" s="11">
        <f>N56+O56+P56</f>
        <v>20</v>
      </c>
      <c r="Y56" s="12">
        <f t="shared" si="8"/>
        <v>158</v>
      </c>
      <c r="Z56" s="13">
        <f>I56+K56</f>
        <v>112</v>
      </c>
      <c r="AA56" s="13">
        <f>N56+P56</f>
        <v>14</v>
      </c>
      <c r="AB56" s="14">
        <f t="shared" si="9"/>
        <v>126</v>
      </c>
      <c r="AC56" s="35">
        <f>W56/F56</f>
        <v>0.44805194805194803</v>
      </c>
      <c r="AD56" s="35">
        <f>X56/G56</f>
        <v>0.45454545454545453</v>
      </c>
      <c r="AE56" s="15">
        <f>Y56/H56</f>
        <v>0.44886363636363635</v>
      </c>
      <c r="AF56" s="36">
        <f>Z56/F56</f>
        <v>0.36363636363636365</v>
      </c>
      <c r="AG56" s="36">
        <f>AA56/G56</f>
        <v>0.31818181818181818</v>
      </c>
      <c r="AH56" s="15">
        <f>AB56/H56</f>
        <v>0.35795454545454547</v>
      </c>
    </row>
    <row r="57" spans="1:34" x14ac:dyDescent="0.35">
      <c r="A57" s="8">
        <v>54</v>
      </c>
      <c r="B57" s="1" t="s">
        <v>160</v>
      </c>
      <c r="C57" s="1" t="s">
        <v>161</v>
      </c>
      <c r="D57" s="1" t="s">
        <v>15</v>
      </c>
      <c r="E57" s="1" t="s">
        <v>58</v>
      </c>
      <c r="F57" s="9">
        <v>325</v>
      </c>
      <c r="G57" s="9">
        <v>53</v>
      </c>
      <c r="H57" s="10">
        <f t="shared" si="0"/>
        <v>378</v>
      </c>
      <c r="I57" s="17">
        <v>133</v>
      </c>
      <c r="J57" s="17">
        <v>10</v>
      </c>
      <c r="K57" s="17">
        <v>21</v>
      </c>
      <c r="L57" s="17">
        <f t="shared" si="1"/>
        <v>143</v>
      </c>
      <c r="M57" s="18">
        <f t="shared" si="2"/>
        <v>11</v>
      </c>
      <c r="N57" s="19">
        <v>13</v>
      </c>
      <c r="O57" s="19">
        <v>16</v>
      </c>
      <c r="P57" s="19">
        <v>30</v>
      </c>
      <c r="Q57" s="19">
        <f t="shared" si="3"/>
        <v>29</v>
      </c>
      <c r="R57" s="20">
        <f t="shared" si="4"/>
        <v>14</v>
      </c>
      <c r="S57" s="21">
        <f t="shared" si="5"/>
        <v>172</v>
      </c>
      <c r="T57" s="21">
        <f t="shared" si="6"/>
        <v>26</v>
      </c>
      <c r="U57" s="21">
        <f>K57+P57</f>
        <v>51</v>
      </c>
      <c r="V57" s="21">
        <f t="shared" si="7"/>
        <v>-121</v>
      </c>
      <c r="W57" s="11">
        <f>I57+J57+K57</f>
        <v>164</v>
      </c>
      <c r="X57" s="11">
        <f>N57+O57+P57</f>
        <v>59</v>
      </c>
      <c r="Y57" s="12">
        <f t="shared" si="8"/>
        <v>223</v>
      </c>
      <c r="Z57" s="13">
        <f>I57+K57</f>
        <v>154</v>
      </c>
      <c r="AA57" s="13">
        <f>N57+P57</f>
        <v>43</v>
      </c>
      <c r="AB57" s="14">
        <f t="shared" si="9"/>
        <v>197</v>
      </c>
      <c r="AC57" s="35">
        <f>W57/F57</f>
        <v>0.50461538461538458</v>
      </c>
      <c r="AD57" s="35">
        <f>X57/G57</f>
        <v>1.1132075471698113</v>
      </c>
      <c r="AE57" s="15">
        <f>Y57/H57</f>
        <v>0.58994708994709</v>
      </c>
      <c r="AF57" s="36">
        <f>Z57/F57</f>
        <v>0.47384615384615386</v>
      </c>
      <c r="AG57" s="36">
        <f>AA57/G57</f>
        <v>0.81132075471698117</v>
      </c>
      <c r="AH57" s="15">
        <f>AB57/H57</f>
        <v>0.52116402116402116</v>
      </c>
    </row>
    <row r="58" spans="1:34" x14ac:dyDescent="0.35">
      <c r="A58" s="8">
        <v>55</v>
      </c>
      <c r="B58" s="1" t="s">
        <v>164</v>
      </c>
      <c r="C58" s="1" t="s">
        <v>165</v>
      </c>
      <c r="D58" s="1" t="s">
        <v>15</v>
      </c>
      <c r="E58" s="1" t="s">
        <v>48</v>
      </c>
      <c r="F58" s="9">
        <v>402</v>
      </c>
      <c r="G58" s="9">
        <v>27</v>
      </c>
      <c r="H58" s="10">
        <f t="shared" ref="H58:H113" si="10">F58+G58</f>
        <v>429</v>
      </c>
      <c r="I58" s="17">
        <v>184</v>
      </c>
      <c r="J58" s="17">
        <v>30</v>
      </c>
      <c r="K58" s="17">
        <v>20</v>
      </c>
      <c r="L58" s="17">
        <f t="shared" ref="L58:L113" si="11">I58+J58</f>
        <v>214</v>
      </c>
      <c r="M58" s="18">
        <f t="shared" ref="M58:M113" si="12">K58-J58</f>
        <v>-10</v>
      </c>
      <c r="N58" s="19">
        <v>3</v>
      </c>
      <c r="O58" s="19">
        <v>13</v>
      </c>
      <c r="P58" s="19">
        <v>8</v>
      </c>
      <c r="Q58" s="19">
        <f t="shared" ref="Q58:Q113" si="13">N58+O58</f>
        <v>16</v>
      </c>
      <c r="R58" s="20">
        <f t="shared" ref="R58:R113" si="14">P58-O58</f>
        <v>-5</v>
      </c>
      <c r="S58" s="21">
        <f t="shared" ref="S58:S113" si="15">L58+Q58</f>
        <v>230</v>
      </c>
      <c r="T58" s="21">
        <f t="shared" ref="T58:T113" si="16">J58+O58</f>
        <v>43</v>
      </c>
      <c r="U58" s="21">
        <f>K58+P58</f>
        <v>28</v>
      </c>
      <c r="V58" s="21">
        <f t="shared" ref="V58:V113" si="17">U58-S58</f>
        <v>-202</v>
      </c>
      <c r="W58" s="11">
        <f>I58+J58+K58</f>
        <v>234</v>
      </c>
      <c r="X58" s="11">
        <f>N58+O58+P58</f>
        <v>24</v>
      </c>
      <c r="Y58" s="12">
        <f t="shared" ref="Y58:Y113" si="18">W58+X58</f>
        <v>258</v>
      </c>
      <c r="Z58" s="13">
        <f>I58+K58</f>
        <v>204</v>
      </c>
      <c r="AA58" s="13">
        <f>N58+P58</f>
        <v>11</v>
      </c>
      <c r="AB58" s="14">
        <f t="shared" ref="AB58:AB113" si="19">Z58+AA58</f>
        <v>215</v>
      </c>
      <c r="AC58" s="35">
        <f>W58/F58</f>
        <v>0.58208955223880599</v>
      </c>
      <c r="AD58" s="35">
        <f>X58/G58</f>
        <v>0.88888888888888884</v>
      </c>
      <c r="AE58" s="15">
        <f>Y58/H58</f>
        <v>0.60139860139860135</v>
      </c>
      <c r="AF58" s="36">
        <f>Z58/F58</f>
        <v>0.5074626865671642</v>
      </c>
      <c r="AG58" s="36">
        <f>AA58/G58</f>
        <v>0.40740740740740738</v>
      </c>
      <c r="AH58" s="15">
        <f>AB58/H58</f>
        <v>0.50116550116550118</v>
      </c>
    </row>
    <row r="59" spans="1:34" x14ac:dyDescent="0.35">
      <c r="A59" s="8">
        <v>56</v>
      </c>
      <c r="B59" s="1" t="s">
        <v>168</v>
      </c>
      <c r="C59" s="1" t="s">
        <v>169</v>
      </c>
      <c r="D59" s="1" t="s">
        <v>15</v>
      </c>
      <c r="E59" s="1" t="s">
        <v>58</v>
      </c>
      <c r="F59" s="9">
        <v>296</v>
      </c>
      <c r="G59" s="9">
        <v>12</v>
      </c>
      <c r="H59" s="10">
        <f t="shared" si="10"/>
        <v>308</v>
      </c>
      <c r="I59" s="17">
        <v>121</v>
      </c>
      <c r="J59" s="17">
        <v>18</v>
      </c>
      <c r="K59" s="17">
        <v>17</v>
      </c>
      <c r="L59" s="17">
        <f t="shared" si="11"/>
        <v>139</v>
      </c>
      <c r="M59" s="18">
        <f t="shared" si="12"/>
        <v>-1</v>
      </c>
      <c r="N59" s="19">
        <v>1</v>
      </c>
      <c r="O59" s="19">
        <v>8</v>
      </c>
      <c r="P59" s="19">
        <v>1</v>
      </c>
      <c r="Q59" s="19">
        <f t="shared" si="13"/>
        <v>9</v>
      </c>
      <c r="R59" s="20">
        <f t="shared" si="14"/>
        <v>-7</v>
      </c>
      <c r="S59" s="21">
        <f t="shared" si="15"/>
        <v>148</v>
      </c>
      <c r="T59" s="21">
        <f t="shared" si="16"/>
        <v>26</v>
      </c>
      <c r="U59" s="21">
        <f>K59+P59</f>
        <v>18</v>
      </c>
      <c r="V59" s="21">
        <f t="shared" si="17"/>
        <v>-130</v>
      </c>
      <c r="W59" s="11">
        <f>I59+J59+K59</f>
        <v>156</v>
      </c>
      <c r="X59" s="11">
        <f>N59+O59+P59</f>
        <v>10</v>
      </c>
      <c r="Y59" s="12">
        <f t="shared" si="18"/>
        <v>166</v>
      </c>
      <c r="Z59" s="13">
        <f>I59+K59</f>
        <v>138</v>
      </c>
      <c r="AA59" s="13">
        <f>N59+P59</f>
        <v>2</v>
      </c>
      <c r="AB59" s="14">
        <f t="shared" si="19"/>
        <v>140</v>
      </c>
      <c r="AC59" s="35">
        <f>W59/F59</f>
        <v>0.52702702702702697</v>
      </c>
      <c r="AD59" s="35">
        <f>X59/G59</f>
        <v>0.83333333333333337</v>
      </c>
      <c r="AE59" s="15">
        <f>Y59/H59</f>
        <v>0.53896103896103897</v>
      </c>
      <c r="AF59" s="36">
        <f>Z59/F59</f>
        <v>0.46621621621621623</v>
      </c>
      <c r="AG59" s="36">
        <f>AA59/G59</f>
        <v>0.16666666666666666</v>
      </c>
      <c r="AH59" s="15">
        <f>AB59/H59</f>
        <v>0.45454545454545453</v>
      </c>
    </row>
    <row r="60" spans="1:34" x14ac:dyDescent="0.35">
      <c r="A60" s="8">
        <v>57</v>
      </c>
      <c r="B60" s="1" t="s">
        <v>170</v>
      </c>
      <c r="C60" s="1" t="s">
        <v>171</v>
      </c>
      <c r="D60" s="1" t="s">
        <v>15</v>
      </c>
      <c r="E60" s="1" t="s">
        <v>51</v>
      </c>
      <c r="F60" s="9">
        <v>328</v>
      </c>
      <c r="G60" s="9">
        <v>30</v>
      </c>
      <c r="H60" s="10">
        <f t="shared" si="10"/>
        <v>358</v>
      </c>
      <c r="I60" s="17">
        <v>167</v>
      </c>
      <c r="J60" s="17">
        <v>20</v>
      </c>
      <c r="K60" s="17">
        <v>40</v>
      </c>
      <c r="L60" s="17">
        <f t="shared" si="11"/>
        <v>187</v>
      </c>
      <c r="M60" s="18">
        <f t="shared" si="12"/>
        <v>20</v>
      </c>
      <c r="N60" s="19">
        <v>2</v>
      </c>
      <c r="O60" s="19">
        <v>12</v>
      </c>
      <c r="P60" s="19">
        <v>9</v>
      </c>
      <c r="Q60" s="19">
        <f t="shared" si="13"/>
        <v>14</v>
      </c>
      <c r="R60" s="20">
        <f t="shared" si="14"/>
        <v>-3</v>
      </c>
      <c r="S60" s="21">
        <f t="shared" si="15"/>
        <v>201</v>
      </c>
      <c r="T60" s="21">
        <f t="shared" si="16"/>
        <v>32</v>
      </c>
      <c r="U60" s="21">
        <f>K60+P60</f>
        <v>49</v>
      </c>
      <c r="V60" s="21">
        <f t="shared" si="17"/>
        <v>-152</v>
      </c>
      <c r="W60" s="11">
        <f>I60+J60+K60</f>
        <v>227</v>
      </c>
      <c r="X60" s="11">
        <f>N60+O60+P60</f>
        <v>23</v>
      </c>
      <c r="Y60" s="12">
        <f t="shared" si="18"/>
        <v>250</v>
      </c>
      <c r="Z60" s="13">
        <f>I60+K60</f>
        <v>207</v>
      </c>
      <c r="AA60" s="13">
        <f>N60+P60</f>
        <v>11</v>
      </c>
      <c r="AB60" s="14">
        <f t="shared" si="19"/>
        <v>218</v>
      </c>
      <c r="AC60" s="35">
        <f>W60/F60</f>
        <v>0.69207317073170727</v>
      </c>
      <c r="AD60" s="35">
        <f>X60/G60</f>
        <v>0.76666666666666672</v>
      </c>
      <c r="AE60" s="15">
        <f>Y60/H60</f>
        <v>0.6983240223463687</v>
      </c>
      <c r="AF60" s="36">
        <f>Z60/F60</f>
        <v>0.63109756097560976</v>
      </c>
      <c r="AG60" s="36">
        <f>AA60/G60</f>
        <v>0.36666666666666664</v>
      </c>
      <c r="AH60" s="15">
        <f>AB60/H60</f>
        <v>0.60893854748603349</v>
      </c>
    </row>
    <row r="61" spans="1:34" x14ac:dyDescent="0.35">
      <c r="A61" s="8">
        <v>58</v>
      </c>
      <c r="B61" s="1" t="s">
        <v>172</v>
      </c>
      <c r="C61" s="1" t="s">
        <v>173</v>
      </c>
      <c r="D61" s="1" t="s">
        <v>15</v>
      </c>
      <c r="E61" s="1" t="s">
        <v>34</v>
      </c>
      <c r="F61" s="9">
        <v>321</v>
      </c>
      <c r="G61" s="9">
        <v>40</v>
      </c>
      <c r="H61" s="10">
        <f t="shared" si="10"/>
        <v>361</v>
      </c>
      <c r="I61" s="17">
        <v>94</v>
      </c>
      <c r="J61" s="17">
        <v>13</v>
      </c>
      <c r="K61" s="17">
        <v>34</v>
      </c>
      <c r="L61" s="17">
        <f t="shared" si="11"/>
        <v>107</v>
      </c>
      <c r="M61" s="18">
        <f t="shared" si="12"/>
        <v>21</v>
      </c>
      <c r="N61" s="19">
        <v>5</v>
      </c>
      <c r="O61" s="19">
        <v>18</v>
      </c>
      <c r="P61" s="19">
        <v>8</v>
      </c>
      <c r="Q61" s="19">
        <f t="shared" si="13"/>
        <v>23</v>
      </c>
      <c r="R61" s="20">
        <f t="shared" si="14"/>
        <v>-10</v>
      </c>
      <c r="S61" s="21">
        <f t="shared" si="15"/>
        <v>130</v>
      </c>
      <c r="T61" s="21">
        <f t="shared" si="16"/>
        <v>31</v>
      </c>
      <c r="U61" s="21">
        <f>K61+P61</f>
        <v>42</v>
      </c>
      <c r="V61" s="21">
        <f t="shared" si="17"/>
        <v>-88</v>
      </c>
      <c r="W61" s="11">
        <f>I61+J61+K61</f>
        <v>141</v>
      </c>
      <c r="X61" s="11">
        <f>N61+O61+P61</f>
        <v>31</v>
      </c>
      <c r="Y61" s="12">
        <f t="shared" si="18"/>
        <v>172</v>
      </c>
      <c r="Z61" s="13">
        <f>I61+K61</f>
        <v>128</v>
      </c>
      <c r="AA61" s="13">
        <f>N61+P61</f>
        <v>13</v>
      </c>
      <c r="AB61" s="14">
        <f t="shared" si="19"/>
        <v>141</v>
      </c>
      <c r="AC61" s="35">
        <f>W61/F61</f>
        <v>0.43925233644859812</v>
      </c>
      <c r="AD61" s="35">
        <f>X61/G61</f>
        <v>0.77500000000000002</v>
      </c>
      <c r="AE61" s="15">
        <f>Y61/H61</f>
        <v>0.47645429362880887</v>
      </c>
      <c r="AF61" s="36">
        <f>Z61/F61</f>
        <v>0.39875389408099687</v>
      </c>
      <c r="AG61" s="36">
        <f>AA61/G61</f>
        <v>0.32500000000000001</v>
      </c>
      <c r="AH61" s="15">
        <f>AB61/H61</f>
        <v>0.39058171745152354</v>
      </c>
    </row>
    <row r="62" spans="1:34" x14ac:dyDescent="0.35">
      <c r="A62" s="8">
        <v>59</v>
      </c>
      <c r="B62" s="1" t="s">
        <v>174</v>
      </c>
      <c r="C62" s="1" t="s">
        <v>175</v>
      </c>
      <c r="D62" s="1" t="s">
        <v>15</v>
      </c>
      <c r="E62" s="1" t="s">
        <v>16</v>
      </c>
      <c r="F62" s="9">
        <v>329</v>
      </c>
      <c r="G62" s="9">
        <v>77</v>
      </c>
      <c r="H62" s="10">
        <f t="shared" si="10"/>
        <v>406</v>
      </c>
      <c r="I62" s="17">
        <v>116</v>
      </c>
      <c r="J62" s="17">
        <v>46</v>
      </c>
      <c r="K62" s="17">
        <v>39</v>
      </c>
      <c r="L62" s="17">
        <f t="shared" si="11"/>
        <v>162</v>
      </c>
      <c r="M62" s="18">
        <f t="shared" si="12"/>
        <v>-7</v>
      </c>
      <c r="N62" s="19">
        <v>4</v>
      </c>
      <c r="O62" s="19">
        <v>19</v>
      </c>
      <c r="P62" s="19">
        <v>17</v>
      </c>
      <c r="Q62" s="19">
        <f t="shared" si="13"/>
        <v>23</v>
      </c>
      <c r="R62" s="20">
        <f t="shared" si="14"/>
        <v>-2</v>
      </c>
      <c r="S62" s="21">
        <f t="shared" si="15"/>
        <v>185</v>
      </c>
      <c r="T62" s="21">
        <f t="shared" si="16"/>
        <v>65</v>
      </c>
      <c r="U62" s="21">
        <f>K62+P62</f>
        <v>56</v>
      </c>
      <c r="V62" s="21">
        <f t="shared" si="17"/>
        <v>-129</v>
      </c>
      <c r="W62" s="11">
        <f>I62+J62+K62</f>
        <v>201</v>
      </c>
      <c r="X62" s="11">
        <f>N62+O62+P62</f>
        <v>40</v>
      </c>
      <c r="Y62" s="12">
        <f t="shared" si="18"/>
        <v>241</v>
      </c>
      <c r="Z62" s="13">
        <f>I62+K62</f>
        <v>155</v>
      </c>
      <c r="AA62" s="13">
        <f>N62+P62</f>
        <v>21</v>
      </c>
      <c r="AB62" s="14">
        <f t="shared" si="19"/>
        <v>176</v>
      </c>
      <c r="AC62" s="35">
        <f>W62/F62</f>
        <v>0.61094224924012153</v>
      </c>
      <c r="AD62" s="35">
        <f>X62/G62</f>
        <v>0.51948051948051943</v>
      </c>
      <c r="AE62" s="15">
        <f>Y62/H62</f>
        <v>0.59359605911330049</v>
      </c>
      <c r="AF62" s="36">
        <f>Z62/F62</f>
        <v>0.47112462006079026</v>
      </c>
      <c r="AG62" s="36">
        <f>AA62/G62</f>
        <v>0.27272727272727271</v>
      </c>
      <c r="AH62" s="15">
        <f>AB62/H62</f>
        <v>0.43349753694581283</v>
      </c>
    </row>
    <row r="63" spans="1:34" x14ac:dyDescent="0.35">
      <c r="A63" s="8">
        <v>60</v>
      </c>
      <c r="B63" s="1" t="s">
        <v>176</v>
      </c>
      <c r="C63" s="1" t="s">
        <v>177</v>
      </c>
      <c r="D63" s="1" t="s">
        <v>15</v>
      </c>
      <c r="E63" s="1" t="s">
        <v>58</v>
      </c>
      <c r="F63" s="9">
        <v>366</v>
      </c>
      <c r="G63" s="9">
        <v>44</v>
      </c>
      <c r="H63" s="10">
        <f t="shared" si="10"/>
        <v>410</v>
      </c>
      <c r="I63" s="17">
        <v>161</v>
      </c>
      <c r="J63" s="17">
        <v>47</v>
      </c>
      <c r="K63" s="17">
        <v>17</v>
      </c>
      <c r="L63" s="17">
        <f t="shared" si="11"/>
        <v>208</v>
      </c>
      <c r="M63" s="18">
        <f t="shared" si="12"/>
        <v>-30</v>
      </c>
      <c r="N63" s="19">
        <v>17</v>
      </c>
      <c r="O63" s="19">
        <v>20</v>
      </c>
      <c r="P63" s="19">
        <v>18</v>
      </c>
      <c r="Q63" s="19">
        <f t="shared" si="13"/>
        <v>37</v>
      </c>
      <c r="R63" s="20">
        <f t="shared" si="14"/>
        <v>-2</v>
      </c>
      <c r="S63" s="21">
        <f t="shared" si="15"/>
        <v>245</v>
      </c>
      <c r="T63" s="21">
        <f t="shared" si="16"/>
        <v>67</v>
      </c>
      <c r="U63" s="21">
        <f>K63+P63</f>
        <v>35</v>
      </c>
      <c r="V63" s="21">
        <f t="shared" si="17"/>
        <v>-210</v>
      </c>
      <c r="W63" s="11">
        <f>I63+J63+K63</f>
        <v>225</v>
      </c>
      <c r="X63" s="11">
        <f>N63+O63+P63</f>
        <v>55</v>
      </c>
      <c r="Y63" s="12">
        <f t="shared" si="18"/>
        <v>280</v>
      </c>
      <c r="Z63" s="13">
        <f>I63+K63</f>
        <v>178</v>
      </c>
      <c r="AA63" s="13">
        <f>N63+P63</f>
        <v>35</v>
      </c>
      <c r="AB63" s="14">
        <f t="shared" si="19"/>
        <v>213</v>
      </c>
      <c r="AC63" s="35">
        <f>W63/F63</f>
        <v>0.61475409836065575</v>
      </c>
      <c r="AD63" s="35">
        <f>X63/G63</f>
        <v>1.25</v>
      </c>
      <c r="AE63" s="15">
        <f>Y63/H63</f>
        <v>0.68292682926829273</v>
      </c>
      <c r="AF63" s="36">
        <f>Z63/F63</f>
        <v>0.48633879781420764</v>
      </c>
      <c r="AG63" s="36">
        <f>AA63/G63</f>
        <v>0.79545454545454541</v>
      </c>
      <c r="AH63" s="15">
        <f>AB63/H63</f>
        <v>0.51951219512195124</v>
      </c>
    </row>
    <row r="64" spans="1:34" x14ac:dyDescent="0.35">
      <c r="A64" s="8">
        <v>61</v>
      </c>
      <c r="B64" s="1" t="s">
        <v>180</v>
      </c>
      <c r="C64" s="1" t="s">
        <v>181</v>
      </c>
      <c r="D64" s="1" t="s">
        <v>15</v>
      </c>
      <c r="E64" s="1" t="s">
        <v>58</v>
      </c>
      <c r="F64" s="9">
        <v>273</v>
      </c>
      <c r="G64" s="9">
        <v>30</v>
      </c>
      <c r="H64" s="10">
        <f t="shared" si="10"/>
        <v>303</v>
      </c>
      <c r="I64" s="17">
        <v>180</v>
      </c>
      <c r="J64" s="17">
        <v>3</v>
      </c>
      <c r="K64" s="17">
        <v>41</v>
      </c>
      <c r="L64" s="17">
        <f t="shared" si="11"/>
        <v>183</v>
      </c>
      <c r="M64" s="18">
        <f t="shared" si="12"/>
        <v>38</v>
      </c>
      <c r="N64" s="19">
        <v>15</v>
      </c>
      <c r="O64" s="19">
        <v>2</v>
      </c>
      <c r="P64" s="19">
        <v>18</v>
      </c>
      <c r="Q64" s="19">
        <f t="shared" si="13"/>
        <v>17</v>
      </c>
      <c r="R64" s="20">
        <f t="shared" si="14"/>
        <v>16</v>
      </c>
      <c r="S64" s="21">
        <f t="shared" si="15"/>
        <v>200</v>
      </c>
      <c r="T64" s="21">
        <f t="shared" si="16"/>
        <v>5</v>
      </c>
      <c r="U64" s="21">
        <f>K64+P64</f>
        <v>59</v>
      </c>
      <c r="V64" s="21">
        <f t="shared" si="17"/>
        <v>-141</v>
      </c>
      <c r="W64" s="11">
        <f>I64+J64+K64</f>
        <v>224</v>
      </c>
      <c r="X64" s="11">
        <f>N64+O64+P64</f>
        <v>35</v>
      </c>
      <c r="Y64" s="12">
        <f t="shared" si="18"/>
        <v>259</v>
      </c>
      <c r="Z64" s="13">
        <f>I64+K64</f>
        <v>221</v>
      </c>
      <c r="AA64" s="13">
        <f>N64+P64</f>
        <v>33</v>
      </c>
      <c r="AB64" s="14">
        <f t="shared" si="19"/>
        <v>254</v>
      </c>
      <c r="AC64" s="35">
        <f>W64/F64</f>
        <v>0.82051282051282048</v>
      </c>
      <c r="AD64" s="35">
        <f>X64/G64</f>
        <v>1.1666666666666667</v>
      </c>
      <c r="AE64" s="15">
        <f>Y64/H64</f>
        <v>0.8547854785478548</v>
      </c>
      <c r="AF64" s="36">
        <f>Z64/F64</f>
        <v>0.80952380952380953</v>
      </c>
      <c r="AG64" s="36">
        <f>AA64/G64</f>
        <v>1.1000000000000001</v>
      </c>
      <c r="AH64" s="15">
        <f>AB64/H64</f>
        <v>0.83828382838283833</v>
      </c>
    </row>
    <row r="65" spans="1:34" x14ac:dyDescent="0.35">
      <c r="A65" s="8">
        <v>62</v>
      </c>
      <c r="B65" s="1" t="s">
        <v>182</v>
      </c>
      <c r="C65" s="1" t="s">
        <v>183</v>
      </c>
      <c r="D65" s="1" t="s">
        <v>15</v>
      </c>
      <c r="E65" s="1" t="s">
        <v>16</v>
      </c>
      <c r="F65" s="9">
        <v>182</v>
      </c>
      <c r="G65" s="9">
        <v>196</v>
      </c>
      <c r="H65" s="10">
        <f t="shared" si="10"/>
        <v>378</v>
      </c>
      <c r="I65" s="17">
        <v>141</v>
      </c>
      <c r="J65" s="17">
        <v>20</v>
      </c>
      <c r="K65" s="17">
        <v>18</v>
      </c>
      <c r="L65" s="17">
        <f t="shared" si="11"/>
        <v>161</v>
      </c>
      <c r="M65" s="18">
        <f t="shared" si="12"/>
        <v>-2</v>
      </c>
      <c r="N65" s="19">
        <v>1</v>
      </c>
      <c r="O65" s="19">
        <v>9</v>
      </c>
      <c r="P65" s="19">
        <v>3</v>
      </c>
      <c r="Q65" s="19">
        <f t="shared" si="13"/>
        <v>10</v>
      </c>
      <c r="R65" s="20">
        <f t="shared" si="14"/>
        <v>-6</v>
      </c>
      <c r="S65" s="21">
        <f t="shared" si="15"/>
        <v>171</v>
      </c>
      <c r="T65" s="21">
        <f t="shared" si="16"/>
        <v>29</v>
      </c>
      <c r="U65" s="21">
        <f>K65+P65</f>
        <v>21</v>
      </c>
      <c r="V65" s="21">
        <f t="shared" si="17"/>
        <v>-150</v>
      </c>
      <c r="W65" s="11">
        <f>I65+J65+K65</f>
        <v>179</v>
      </c>
      <c r="X65" s="11">
        <f>N65+O65+P65</f>
        <v>13</v>
      </c>
      <c r="Y65" s="12">
        <f t="shared" si="18"/>
        <v>192</v>
      </c>
      <c r="Z65" s="13">
        <f>I65+K65</f>
        <v>159</v>
      </c>
      <c r="AA65" s="13">
        <f>N65+P65</f>
        <v>4</v>
      </c>
      <c r="AB65" s="14">
        <f t="shared" si="19"/>
        <v>163</v>
      </c>
      <c r="AC65" s="35">
        <f>W65/F65</f>
        <v>0.98351648351648346</v>
      </c>
      <c r="AD65" s="35">
        <f>X65/G65</f>
        <v>6.6326530612244902E-2</v>
      </c>
      <c r="AE65" s="15">
        <f>Y65/H65</f>
        <v>0.50793650793650791</v>
      </c>
      <c r="AF65" s="36">
        <f>Z65/F65</f>
        <v>0.87362637362637363</v>
      </c>
      <c r="AG65" s="36">
        <f>AA65/G65</f>
        <v>2.0408163265306121E-2</v>
      </c>
      <c r="AH65" s="15">
        <f>AB65/H65</f>
        <v>0.43121693121693122</v>
      </c>
    </row>
    <row r="66" spans="1:34" x14ac:dyDescent="0.35">
      <c r="A66" s="8">
        <v>63</v>
      </c>
      <c r="B66" s="1" t="s">
        <v>184</v>
      </c>
      <c r="C66" s="1" t="s">
        <v>185</v>
      </c>
      <c r="D66" s="1" t="s">
        <v>15</v>
      </c>
      <c r="E66" s="1" t="s">
        <v>29</v>
      </c>
      <c r="F66" s="9">
        <v>288</v>
      </c>
      <c r="G66" s="9">
        <v>22</v>
      </c>
      <c r="H66" s="10">
        <f t="shared" si="10"/>
        <v>310</v>
      </c>
      <c r="I66" s="17">
        <v>98</v>
      </c>
      <c r="J66" s="17">
        <v>77</v>
      </c>
      <c r="K66" s="17">
        <v>25</v>
      </c>
      <c r="L66" s="17">
        <f t="shared" si="11"/>
        <v>175</v>
      </c>
      <c r="M66" s="18">
        <f t="shared" si="12"/>
        <v>-52</v>
      </c>
      <c r="N66" s="19">
        <v>2</v>
      </c>
      <c r="O66" s="19">
        <v>10</v>
      </c>
      <c r="P66" s="19">
        <v>10</v>
      </c>
      <c r="Q66" s="19">
        <f t="shared" si="13"/>
        <v>12</v>
      </c>
      <c r="R66" s="20">
        <f t="shared" si="14"/>
        <v>0</v>
      </c>
      <c r="S66" s="21">
        <f t="shared" si="15"/>
        <v>187</v>
      </c>
      <c r="T66" s="21">
        <f t="shared" si="16"/>
        <v>87</v>
      </c>
      <c r="U66" s="21">
        <f>K66+P66</f>
        <v>35</v>
      </c>
      <c r="V66" s="21">
        <f t="shared" si="17"/>
        <v>-152</v>
      </c>
      <c r="W66" s="11">
        <f>I66+J66+K66</f>
        <v>200</v>
      </c>
      <c r="X66" s="11">
        <f>N66+O66+P66</f>
        <v>22</v>
      </c>
      <c r="Y66" s="12">
        <f t="shared" si="18"/>
        <v>222</v>
      </c>
      <c r="Z66" s="13">
        <f>I66+K66</f>
        <v>123</v>
      </c>
      <c r="AA66" s="13">
        <f>N66+P66</f>
        <v>12</v>
      </c>
      <c r="AB66" s="14">
        <f t="shared" si="19"/>
        <v>135</v>
      </c>
      <c r="AC66" s="35">
        <f>W66/F66</f>
        <v>0.69444444444444442</v>
      </c>
      <c r="AD66" s="35">
        <f>X66/G66</f>
        <v>1</v>
      </c>
      <c r="AE66" s="15">
        <f>Y66/H66</f>
        <v>0.71612903225806457</v>
      </c>
      <c r="AF66" s="36">
        <f>Z66/F66</f>
        <v>0.42708333333333331</v>
      </c>
      <c r="AG66" s="36">
        <f>AA66/G66</f>
        <v>0.54545454545454541</v>
      </c>
      <c r="AH66" s="15">
        <f>AB66/H66</f>
        <v>0.43548387096774194</v>
      </c>
    </row>
    <row r="67" spans="1:34" x14ac:dyDescent="0.35">
      <c r="A67" s="8">
        <v>64</v>
      </c>
      <c r="B67" s="1" t="s">
        <v>186</v>
      </c>
      <c r="C67" s="1" t="s">
        <v>187</v>
      </c>
      <c r="D67" s="1" t="s">
        <v>15</v>
      </c>
      <c r="E67" s="1" t="s">
        <v>96</v>
      </c>
      <c r="F67" s="9">
        <v>253</v>
      </c>
      <c r="G67" s="9">
        <v>26</v>
      </c>
      <c r="H67" s="10">
        <f t="shared" si="10"/>
        <v>279</v>
      </c>
      <c r="I67" s="17">
        <v>92</v>
      </c>
      <c r="J67" s="17">
        <v>12</v>
      </c>
      <c r="K67" s="17">
        <v>8</v>
      </c>
      <c r="L67" s="17">
        <f t="shared" si="11"/>
        <v>104</v>
      </c>
      <c r="M67" s="18">
        <f t="shared" si="12"/>
        <v>-4</v>
      </c>
      <c r="N67" s="19">
        <v>1</v>
      </c>
      <c r="O67" s="19">
        <v>6</v>
      </c>
      <c r="P67" s="19">
        <v>2</v>
      </c>
      <c r="Q67" s="19">
        <f t="shared" si="13"/>
        <v>7</v>
      </c>
      <c r="R67" s="20">
        <f t="shared" si="14"/>
        <v>-4</v>
      </c>
      <c r="S67" s="21">
        <f t="shared" si="15"/>
        <v>111</v>
      </c>
      <c r="T67" s="21">
        <f t="shared" si="16"/>
        <v>18</v>
      </c>
      <c r="U67" s="21">
        <f>K67+P67</f>
        <v>10</v>
      </c>
      <c r="V67" s="21">
        <f t="shared" si="17"/>
        <v>-101</v>
      </c>
      <c r="W67" s="11">
        <f>I67+J67+K67</f>
        <v>112</v>
      </c>
      <c r="X67" s="11">
        <f>N67+O67+P67</f>
        <v>9</v>
      </c>
      <c r="Y67" s="12">
        <f t="shared" si="18"/>
        <v>121</v>
      </c>
      <c r="Z67" s="13">
        <f>I67+K67</f>
        <v>100</v>
      </c>
      <c r="AA67" s="13">
        <f>N67+P67</f>
        <v>3</v>
      </c>
      <c r="AB67" s="14">
        <f t="shared" si="19"/>
        <v>103</v>
      </c>
      <c r="AC67" s="35">
        <f>W67/F67</f>
        <v>0.44268774703557312</v>
      </c>
      <c r="AD67" s="35">
        <f>X67/G67</f>
        <v>0.34615384615384615</v>
      </c>
      <c r="AE67" s="15">
        <f>Y67/H67</f>
        <v>0.43369175627240142</v>
      </c>
      <c r="AF67" s="36">
        <f>Z67/F67</f>
        <v>0.39525691699604742</v>
      </c>
      <c r="AG67" s="36">
        <f>AA67/G67</f>
        <v>0.11538461538461539</v>
      </c>
      <c r="AH67" s="15">
        <f>AB67/H67</f>
        <v>0.36917562724014336</v>
      </c>
    </row>
    <row r="68" spans="1:34" x14ac:dyDescent="0.35">
      <c r="A68" s="8">
        <v>65</v>
      </c>
      <c r="B68" s="1" t="s">
        <v>188</v>
      </c>
      <c r="C68" s="1" t="s">
        <v>189</v>
      </c>
      <c r="D68" s="1" t="s">
        <v>15</v>
      </c>
      <c r="E68" s="1" t="s">
        <v>16</v>
      </c>
      <c r="F68" s="9">
        <v>292</v>
      </c>
      <c r="G68" s="9">
        <v>81</v>
      </c>
      <c r="H68" s="10">
        <f t="shared" si="10"/>
        <v>373</v>
      </c>
      <c r="I68" s="17">
        <v>113</v>
      </c>
      <c r="J68" s="17">
        <v>33</v>
      </c>
      <c r="K68" s="17">
        <v>10</v>
      </c>
      <c r="L68" s="17">
        <f t="shared" si="11"/>
        <v>146</v>
      </c>
      <c r="M68" s="18">
        <f t="shared" si="12"/>
        <v>-23</v>
      </c>
      <c r="N68" s="19">
        <v>15</v>
      </c>
      <c r="O68" s="19">
        <v>12</v>
      </c>
      <c r="P68" s="19">
        <v>22</v>
      </c>
      <c r="Q68" s="19">
        <f t="shared" si="13"/>
        <v>27</v>
      </c>
      <c r="R68" s="20">
        <f t="shared" si="14"/>
        <v>10</v>
      </c>
      <c r="S68" s="21">
        <f t="shared" si="15"/>
        <v>173</v>
      </c>
      <c r="T68" s="21">
        <f t="shared" si="16"/>
        <v>45</v>
      </c>
      <c r="U68" s="21">
        <f>K68+P68</f>
        <v>32</v>
      </c>
      <c r="V68" s="21">
        <f t="shared" si="17"/>
        <v>-141</v>
      </c>
      <c r="W68" s="11">
        <f>I68+J68+K68</f>
        <v>156</v>
      </c>
      <c r="X68" s="11">
        <f>N68+O68+P68</f>
        <v>49</v>
      </c>
      <c r="Y68" s="12">
        <f t="shared" si="18"/>
        <v>205</v>
      </c>
      <c r="Z68" s="13">
        <f>I68+K68</f>
        <v>123</v>
      </c>
      <c r="AA68" s="13">
        <f>N68+P68</f>
        <v>37</v>
      </c>
      <c r="AB68" s="14">
        <f t="shared" si="19"/>
        <v>160</v>
      </c>
      <c r="AC68" s="35">
        <f>W68/F68</f>
        <v>0.53424657534246578</v>
      </c>
      <c r="AD68" s="35">
        <f>X68/G68</f>
        <v>0.60493827160493829</v>
      </c>
      <c r="AE68" s="15">
        <f>Y68/H68</f>
        <v>0.54959785522788207</v>
      </c>
      <c r="AF68" s="36">
        <f>Z68/F68</f>
        <v>0.42123287671232879</v>
      </c>
      <c r="AG68" s="36">
        <f>AA68/G68</f>
        <v>0.4567901234567901</v>
      </c>
      <c r="AH68" s="15">
        <f>AB68/H68</f>
        <v>0.42895442359249331</v>
      </c>
    </row>
    <row r="69" spans="1:34" x14ac:dyDescent="0.35">
      <c r="A69" s="8">
        <v>66</v>
      </c>
      <c r="B69" s="1" t="s">
        <v>190</v>
      </c>
      <c r="C69" s="1" t="s">
        <v>191</v>
      </c>
      <c r="D69" s="1" t="s">
        <v>15</v>
      </c>
      <c r="E69" s="1" t="s">
        <v>34</v>
      </c>
      <c r="F69" s="9">
        <v>304</v>
      </c>
      <c r="G69" s="9">
        <v>53</v>
      </c>
      <c r="H69" s="10">
        <f t="shared" si="10"/>
        <v>357</v>
      </c>
      <c r="I69" s="17">
        <v>85</v>
      </c>
      <c r="J69" s="17">
        <v>104</v>
      </c>
      <c r="K69" s="17">
        <v>13</v>
      </c>
      <c r="L69" s="17">
        <f t="shared" si="11"/>
        <v>189</v>
      </c>
      <c r="M69" s="18">
        <f t="shared" si="12"/>
        <v>-91</v>
      </c>
      <c r="N69" s="19">
        <v>2</v>
      </c>
      <c r="O69" s="19">
        <v>3</v>
      </c>
      <c r="P69" s="19">
        <v>5</v>
      </c>
      <c r="Q69" s="19">
        <f t="shared" si="13"/>
        <v>5</v>
      </c>
      <c r="R69" s="20">
        <f t="shared" si="14"/>
        <v>2</v>
      </c>
      <c r="S69" s="21">
        <f t="shared" si="15"/>
        <v>194</v>
      </c>
      <c r="T69" s="21">
        <f t="shared" si="16"/>
        <v>107</v>
      </c>
      <c r="U69" s="21">
        <f>K69+P69</f>
        <v>18</v>
      </c>
      <c r="V69" s="21">
        <f t="shared" si="17"/>
        <v>-176</v>
      </c>
      <c r="W69" s="11">
        <f>I69+J69+K69</f>
        <v>202</v>
      </c>
      <c r="X69" s="11">
        <f>N69+O69+P69</f>
        <v>10</v>
      </c>
      <c r="Y69" s="12">
        <f t="shared" si="18"/>
        <v>212</v>
      </c>
      <c r="Z69" s="13">
        <f>I69+K69</f>
        <v>98</v>
      </c>
      <c r="AA69" s="13">
        <f>N69+P69</f>
        <v>7</v>
      </c>
      <c r="AB69" s="14">
        <f t="shared" si="19"/>
        <v>105</v>
      </c>
      <c r="AC69" s="35">
        <f>W69/F69</f>
        <v>0.66447368421052633</v>
      </c>
      <c r="AD69" s="35">
        <f>X69/G69</f>
        <v>0.18867924528301888</v>
      </c>
      <c r="AE69" s="15">
        <f>Y69/H69</f>
        <v>0.5938375350140056</v>
      </c>
      <c r="AF69" s="36">
        <f>Z69/F69</f>
        <v>0.32236842105263158</v>
      </c>
      <c r="AG69" s="36">
        <f>AA69/G69</f>
        <v>0.13207547169811321</v>
      </c>
      <c r="AH69" s="15">
        <f>AB69/H69</f>
        <v>0.29411764705882354</v>
      </c>
    </row>
    <row r="70" spans="1:34" x14ac:dyDescent="0.35">
      <c r="A70" s="8">
        <v>67</v>
      </c>
      <c r="B70" s="1" t="s">
        <v>192</v>
      </c>
      <c r="C70" s="1" t="s">
        <v>193</v>
      </c>
      <c r="D70" s="1" t="s">
        <v>15</v>
      </c>
      <c r="E70" s="1" t="s">
        <v>29</v>
      </c>
      <c r="F70" s="9">
        <v>323</v>
      </c>
      <c r="G70" s="9">
        <v>18</v>
      </c>
      <c r="H70" s="10">
        <f t="shared" si="10"/>
        <v>341</v>
      </c>
      <c r="I70" s="17">
        <v>104</v>
      </c>
      <c r="J70" s="17">
        <v>8</v>
      </c>
      <c r="K70" s="17">
        <v>23</v>
      </c>
      <c r="L70" s="17">
        <f t="shared" si="11"/>
        <v>112</v>
      </c>
      <c r="M70" s="18">
        <f t="shared" si="12"/>
        <v>15</v>
      </c>
      <c r="N70" s="19">
        <v>1</v>
      </c>
      <c r="O70" s="19">
        <v>0</v>
      </c>
      <c r="P70" s="19">
        <v>1</v>
      </c>
      <c r="Q70" s="19">
        <f t="shared" si="13"/>
        <v>1</v>
      </c>
      <c r="R70" s="20">
        <f t="shared" si="14"/>
        <v>1</v>
      </c>
      <c r="S70" s="21">
        <f t="shared" si="15"/>
        <v>113</v>
      </c>
      <c r="T70" s="21">
        <f t="shared" si="16"/>
        <v>8</v>
      </c>
      <c r="U70" s="21">
        <f>K70+P70</f>
        <v>24</v>
      </c>
      <c r="V70" s="21">
        <f t="shared" si="17"/>
        <v>-89</v>
      </c>
      <c r="W70" s="11">
        <f>I70+J70+K70</f>
        <v>135</v>
      </c>
      <c r="X70" s="11">
        <f>N70+O70+P70</f>
        <v>2</v>
      </c>
      <c r="Y70" s="12">
        <f t="shared" si="18"/>
        <v>137</v>
      </c>
      <c r="Z70" s="13">
        <f>I70+K70</f>
        <v>127</v>
      </c>
      <c r="AA70" s="13">
        <f>N70+P70</f>
        <v>2</v>
      </c>
      <c r="AB70" s="14">
        <f t="shared" si="19"/>
        <v>129</v>
      </c>
      <c r="AC70" s="35">
        <f>W70/F70</f>
        <v>0.41795665634674922</v>
      </c>
      <c r="AD70" s="35">
        <f>X70/G70</f>
        <v>0.1111111111111111</v>
      </c>
      <c r="AE70" s="15">
        <f>Y70/H70</f>
        <v>0.40175953079178883</v>
      </c>
      <c r="AF70" s="36">
        <f>Z70/F70</f>
        <v>0.39318885448916407</v>
      </c>
      <c r="AG70" s="36">
        <f>AA70/G70</f>
        <v>0.1111111111111111</v>
      </c>
      <c r="AH70" s="15">
        <f>AB70/H70</f>
        <v>0.3782991202346041</v>
      </c>
    </row>
    <row r="71" spans="1:34" x14ac:dyDescent="0.35">
      <c r="A71" s="8">
        <v>68</v>
      </c>
      <c r="B71" s="1" t="s">
        <v>194</v>
      </c>
      <c r="C71" s="1" t="s">
        <v>195</v>
      </c>
      <c r="D71" s="1" t="s">
        <v>15</v>
      </c>
      <c r="E71" s="1" t="s">
        <v>68</v>
      </c>
      <c r="F71" s="9">
        <v>283</v>
      </c>
      <c r="G71" s="9">
        <v>36</v>
      </c>
      <c r="H71" s="10">
        <f t="shared" si="10"/>
        <v>319</v>
      </c>
      <c r="I71" s="17">
        <v>153</v>
      </c>
      <c r="J71" s="17">
        <v>52</v>
      </c>
      <c r="K71" s="17">
        <v>40</v>
      </c>
      <c r="L71" s="17">
        <f t="shared" si="11"/>
        <v>205</v>
      </c>
      <c r="M71" s="18">
        <f t="shared" si="12"/>
        <v>-12</v>
      </c>
      <c r="N71" s="19">
        <v>6</v>
      </c>
      <c r="O71" s="19">
        <v>10</v>
      </c>
      <c r="P71" s="19">
        <v>9</v>
      </c>
      <c r="Q71" s="19">
        <f t="shared" si="13"/>
        <v>16</v>
      </c>
      <c r="R71" s="20">
        <f t="shared" si="14"/>
        <v>-1</v>
      </c>
      <c r="S71" s="21">
        <f t="shared" si="15"/>
        <v>221</v>
      </c>
      <c r="T71" s="21">
        <f t="shared" si="16"/>
        <v>62</v>
      </c>
      <c r="U71" s="21">
        <f>K71+P71</f>
        <v>49</v>
      </c>
      <c r="V71" s="21">
        <f t="shared" si="17"/>
        <v>-172</v>
      </c>
      <c r="W71" s="11">
        <f>I71+J71+K71</f>
        <v>245</v>
      </c>
      <c r="X71" s="11">
        <f>N71+O71+P71</f>
        <v>25</v>
      </c>
      <c r="Y71" s="12">
        <f t="shared" si="18"/>
        <v>270</v>
      </c>
      <c r="Z71" s="13">
        <f>I71+K71</f>
        <v>193</v>
      </c>
      <c r="AA71" s="13">
        <f>N71+P71</f>
        <v>15</v>
      </c>
      <c r="AB71" s="14">
        <f t="shared" si="19"/>
        <v>208</v>
      </c>
      <c r="AC71" s="35">
        <f>W71/F71</f>
        <v>0.86572438162544174</v>
      </c>
      <c r="AD71" s="35">
        <f>X71/G71</f>
        <v>0.69444444444444442</v>
      </c>
      <c r="AE71" s="15">
        <f>Y71/H71</f>
        <v>0.84639498432601878</v>
      </c>
      <c r="AF71" s="36">
        <f>Z71/F71</f>
        <v>0.6819787985865724</v>
      </c>
      <c r="AG71" s="36">
        <f>AA71/G71</f>
        <v>0.41666666666666669</v>
      </c>
      <c r="AH71" s="15">
        <f>AB71/H71</f>
        <v>0.65203761755485889</v>
      </c>
    </row>
    <row r="72" spans="1:34" x14ac:dyDescent="0.35">
      <c r="A72" s="8">
        <v>69</v>
      </c>
      <c r="B72" s="1" t="s">
        <v>196</v>
      </c>
      <c r="C72" s="1" t="s">
        <v>197</v>
      </c>
      <c r="D72" s="1" t="s">
        <v>15</v>
      </c>
      <c r="E72" s="1" t="s">
        <v>29</v>
      </c>
      <c r="F72" s="9">
        <v>300</v>
      </c>
      <c r="G72" s="9">
        <v>36</v>
      </c>
      <c r="H72" s="10">
        <f t="shared" si="10"/>
        <v>336</v>
      </c>
      <c r="I72" s="17">
        <v>149</v>
      </c>
      <c r="J72" s="17">
        <v>19</v>
      </c>
      <c r="K72" s="17">
        <v>26</v>
      </c>
      <c r="L72" s="17">
        <f t="shared" si="11"/>
        <v>168</v>
      </c>
      <c r="M72" s="18">
        <f t="shared" si="12"/>
        <v>7</v>
      </c>
      <c r="N72" s="19">
        <v>4</v>
      </c>
      <c r="O72" s="19">
        <v>16</v>
      </c>
      <c r="P72" s="19">
        <v>8</v>
      </c>
      <c r="Q72" s="19">
        <f t="shared" si="13"/>
        <v>20</v>
      </c>
      <c r="R72" s="20">
        <f t="shared" si="14"/>
        <v>-8</v>
      </c>
      <c r="S72" s="21">
        <f t="shared" si="15"/>
        <v>188</v>
      </c>
      <c r="T72" s="21">
        <f t="shared" si="16"/>
        <v>35</v>
      </c>
      <c r="U72" s="21">
        <f>K72+P72</f>
        <v>34</v>
      </c>
      <c r="V72" s="21">
        <f t="shared" si="17"/>
        <v>-154</v>
      </c>
      <c r="W72" s="11">
        <f>I72+J72+K72</f>
        <v>194</v>
      </c>
      <c r="X72" s="11">
        <f>N72+O72+P72</f>
        <v>28</v>
      </c>
      <c r="Y72" s="12">
        <f t="shared" si="18"/>
        <v>222</v>
      </c>
      <c r="Z72" s="13">
        <f>I72+K72</f>
        <v>175</v>
      </c>
      <c r="AA72" s="13">
        <f>N72+P72</f>
        <v>12</v>
      </c>
      <c r="AB72" s="14">
        <f t="shared" si="19"/>
        <v>187</v>
      </c>
      <c r="AC72" s="35">
        <f>W72/F72</f>
        <v>0.64666666666666661</v>
      </c>
      <c r="AD72" s="35">
        <f>X72/G72</f>
        <v>0.77777777777777779</v>
      </c>
      <c r="AE72" s="15">
        <f>Y72/H72</f>
        <v>0.6607142857142857</v>
      </c>
      <c r="AF72" s="36">
        <f>Z72/F72</f>
        <v>0.58333333333333337</v>
      </c>
      <c r="AG72" s="36">
        <f>AA72/G72</f>
        <v>0.33333333333333331</v>
      </c>
      <c r="AH72" s="15">
        <f>AB72/H72</f>
        <v>0.55654761904761907</v>
      </c>
    </row>
    <row r="73" spans="1:34" x14ac:dyDescent="0.35">
      <c r="A73" s="8">
        <v>70</v>
      </c>
      <c r="B73" s="1" t="s">
        <v>198</v>
      </c>
      <c r="C73" s="1" t="s">
        <v>199</v>
      </c>
      <c r="D73" s="1" t="s">
        <v>15</v>
      </c>
      <c r="E73" s="1" t="s">
        <v>51</v>
      </c>
      <c r="F73" s="9">
        <v>326</v>
      </c>
      <c r="G73" s="9">
        <v>67</v>
      </c>
      <c r="H73" s="10">
        <f t="shared" si="10"/>
        <v>393</v>
      </c>
      <c r="I73" s="17">
        <v>189</v>
      </c>
      <c r="J73" s="17">
        <v>80</v>
      </c>
      <c r="K73" s="17">
        <v>28</v>
      </c>
      <c r="L73" s="17">
        <f t="shared" si="11"/>
        <v>269</v>
      </c>
      <c r="M73" s="18">
        <f t="shared" si="12"/>
        <v>-52</v>
      </c>
      <c r="N73" s="19">
        <v>1</v>
      </c>
      <c r="O73" s="19">
        <v>29</v>
      </c>
      <c r="P73" s="19">
        <v>9</v>
      </c>
      <c r="Q73" s="19">
        <f t="shared" si="13"/>
        <v>30</v>
      </c>
      <c r="R73" s="20">
        <f t="shared" si="14"/>
        <v>-20</v>
      </c>
      <c r="S73" s="21">
        <f t="shared" si="15"/>
        <v>299</v>
      </c>
      <c r="T73" s="21">
        <f t="shared" si="16"/>
        <v>109</v>
      </c>
      <c r="U73" s="21">
        <f>K73+P73</f>
        <v>37</v>
      </c>
      <c r="V73" s="21">
        <f t="shared" si="17"/>
        <v>-262</v>
      </c>
      <c r="W73" s="11">
        <f>I73+J73+K73</f>
        <v>297</v>
      </c>
      <c r="X73" s="11">
        <f>N73+O73+P73</f>
        <v>39</v>
      </c>
      <c r="Y73" s="12">
        <f t="shared" si="18"/>
        <v>336</v>
      </c>
      <c r="Z73" s="13">
        <f>I73+K73</f>
        <v>217</v>
      </c>
      <c r="AA73" s="13">
        <f>N73+P73</f>
        <v>10</v>
      </c>
      <c r="AB73" s="14">
        <f t="shared" si="19"/>
        <v>227</v>
      </c>
      <c r="AC73" s="35">
        <f>W73/F73</f>
        <v>0.91104294478527603</v>
      </c>
      <c r="AD73" s="35">
        <f>X73/G73</f>
        <v>0.58208955223880599</v>
      </c>
      <c r="AE73" s="15">
        <f>Y73/H73</f>
        <v>0.85496183206106868</v>
      </c>
      <c r="AF73" s="36">
        <f>Z73/F73</f>
        <v>0.66564417177914115</v>
      </c>
      <c r="AG73" s="36">
        <f>AA73/G73</f>
        <v>0.14925373134328357</v>
      </c>
      <c r="AH73" s="15">
        <f>AB73/H73</f>
        <v>0.57760814249363868</v>
      </c>
    </row>
    <row r="74" spans="1:34" x14ac:dyDescent="0.35">
      <c r="A74" s="8">
        <v>71</v>
      </c>
      <c r="B74" s="1" t="s">
        <v>200</v>
      </c>
      <c r="C74" s="1" t="s">
        <v>201</v>
      </c>
      <c r="D74" s="1" t="s">
        <v>15</v>
      </c>
      <c r="E74" s="1" t="s">
        <v>93</v>
      </c>
      <c r="F74" s="9">
        <v>242</v>
      </c>
      <c r="G74" s="9">
        <v>19</v>
      </c>
      <c r="H74" s="10">
        <f t="shared" si="10"/>
        <v>261</v>
      </c>
      <c r="I74" s="17">
        <v>107</v>
      </c>
      <c r="J74" s="17">
        <v>47</v>
      </c>
      <c r="K74" s="17">
        <v>9</v>
      </c>
      <c r="L74" s="17">
        <f t="shared" si="11"/>
        <v>154</v>
      </c>
      <c r="M74" s="18">
        <f t="shared" si="12"/>
        <v>-38</v>
      </c>
      <c r="N74" s="19">
        <v>2</v>
      </c>
      <c r="O74" s="19">
        <v>10</v>
      </c>
      <c r="P74" s="19">
        <v>3</v>
      </c>
      <c r="Q74" s="19">
        <f t="shared" si="13"/>
        <v>12</v>
      </c>
      <c r="R74" s="20">
        <f t="shared" si="14"/>
        <v>-7</v>
      </c>
      <c r="S74" s="21">
        <f t="shared" si="15"/>
        <v>166</v>
      </c>
      <c r="T74" s="21">
        <f t="shared" si="16"/>
        <v>57</v>
      </c>
      <c r="U74" s="21">
        <f>K74+P74</f>
        <v>12</v>
      </c>
      <c r="V74" s="21">
        <f t="shared" si="17"/>
        <v>-154</v>
      </c>
      <c r="W74" s="11">
        <f>I74+J74+K74</f>
        <v>163</v>
      </c>
      <c r="X74" s="11">
        <f>N74+O74+P74</f>
        <v>15</v>
      </c>
      <c r="Y74" s="12">
        <f t="shared" si="18"/>
        <v>178</v>
      </c>
      <c r="Z74" s="13">
        <f>I74+K74</f>
        <v>116</v>
      </c>
      <c r="AA74" s="13">
        <f>N74+P74</f>
        <v>5</v>
      </c>
      <c r="AB74" s="14">
        <f t="shared" si="19"/>
        <v>121</v>
      </c>
      <c r="AC74" s="35">
        <f>W74/F74</f>
        <v>0.67355371900826444</v>
      </c>
      <c r="AD74" s="35">
        <f>X74/G74</f>
        <v>0.78947368421052633</v>
      </c>
      <c r="AE74" s="15">
        <f>Y74/H74</f>
        <v>0.68199233716475094</v>
      </c>
      <c r="AF74" s="36">
        <f>Z74/F74</f>
        <v>0.47933884297520662</v>
      </c>
      <c r="AG74" s="36">
        <f>AA74/G74</f>
        <v>0.26315789473684209</v>
      </c>
      <c r="AH74" s="15">
        <f>AB74/H74</f>
        <v>0.46360153256704983</v>
      </c>
    </row>
    <row r="75" spans="1:34" x14ac:dyDescent="0.35">
      <c r="A75" s="8">
        <v>72</v>
      </c>
      <c r="B75" s="1" t="s">
        <v>202</v>
      </c>
      <c r="C75" s="1" t="s">
        <v>203</v>
      </c>
      <c r="D75" s="1" t="s">
        <v>15</v>
      </c>
      <c r="E75" s="1" t="s">
        <v>68</v>
      </c>
      <c r="F75" s="9">
        <v>147</v>
      </c>
      <c r="G75" s="9">
        <v>195</v>
      </c>
      <c r="H75" s="10">
        <f t="shared" si="10"/>
        <v>342</v>
      </c>
      <c r="I75" s="17">
        <v>117</v>
      </c>
      <c r="J75" s="17">
        <v>19</v>
      </c>
      <c r="K75" s="17">
        <v>24</v>
      </c>
      <c r="L75" s="17">
        <f t="shared" si="11"/>
        <v>136</v>
      </c>
      <c r="M75" s="18">
        <f t="shared" si="12"/>
        <v>5</v>
      </c>
      <c r="N75" s="19">
        <v>18</v>
      </c>
      <c r="O75" s="19">
        <v>39</v>
      </c>
      <c r="P75" s="19">
        <v>26</v>
      </c>
      <c r="Q75" s="19">
        <f t="shared" si="13"/>
        <v>57</v>
      </c>
      <c r="R75" s="20">
        <f t="shared" si="14"/>
        <v>-13</v>
      </c>
      <c r="S75" s="21">
        <f t="shared" si="15"/>
        <v>193</v>
      </c>
      <c r="T75" s="21">
        <f t="shared" si="16"/>
        <v>58</v>
      </c>
      <c r="U75" s="21">
        <f>K75+P75</f>
        <v>50</v>
      </c>
      <c r="V75" s="21">
        <f t="shared" si="17"/>
        <v>-143</v>
      </c>
      <c r="W75" s="11">
        <f>I75+J75+K75</f>
        <v>160</v>
      </c>
      <c r="X75" s="11">
        <f>N75+O75+P75</f>
        <v>83</v>
      </c>
      <c r="Y75" s="12">
        <f t="shared" si="18"/>
        <v>243</v>
      </c>
      <c r="Z75" s="13">
        <f>I75+K75</f>
        <v>141</v>
      </c>
      <c r="AA75" s="13">
        <f>N75+P75</f>
        <v>44</v>
      </c>
      <c r="AB75" s="14">
        <f t="shared" si="19"/>
        <v>185</v>
      </c>
      <c r="AC75" s="35">
        <f>W75/F75</f>
        <v>1.08843537414966</v>
      </c>
      <c r="AD75" s="35">
        <f>X75/G75</f>
        <v>0.42564102564102563</v>
      </c>
      <c r="AE75" s="15">
        <f>Y75/H75</f>
        <v>0.71052631578947367</v>
      </c>
      <c r="AF75" s="36">
        <f>Z75/F75</f>
        <v>0.95918367346938771</v>
      </c>
      <c r="AG75" s="36">
        <f>AA75/G75</f>
        <v>0.22564102564102564</v>
      </c>
      <c r="AH75" s="15">
        <f>AB75/H75</f>
        <v>0.54093567251461994</v>
      </c>
    </row>
    <row r="76" spans="1:34" x14ac:dyDescent="0.35">
      <c r="A76" s="8">
        <v>73</v>
      </c>
      <c r="B76" s="1" t="s">
        <v>204</v>
      </c>
      <c r="C76" s="1" t="s">
        <v>205</v>
      </c>
      <c r="D76" s="1" t="s">
        <v>15</v>
      </c>
      <c r="E76" s="1" t="s">
        <v>26</v>
      </c>
      <c r="F76" s="9">
        <v>284</v>
      </c>
      <c r="G76" s="9">
        <v>17</v>
      </c>
      <c r="H76" s="10">
        <f t="shared" si="10"/>
        <v>301</v>
      </c>
      <c r="I76" s="17">
        <v>157</v>
      </c>
      <c r="J76" s="17">
        <v>22</v>
      </c>
      <c r="K76" s="17">
        <v>18</v>
      </c>
      <c r="L76" s="17">
        <f t="shared" si="11"/>
        <v>179</v>
      </c>
      <c r="M76" s="18">
        <f t="shared" si="12"/>
        <v>-4</v>
      </c>
      <c r="N76" s="19">
        <v>4</v>
      </c>
      <c r="O76" s="19">
        <v>2</v>
      </c>
      <c r="P76" s="19">
        <v>4</v>
      </c>
      <c r="Q76" s="19">
        <f t="shared" si="13"/>
        <v>6</v>
      </c>
      <c r="R76" s="20">
        <f t="shared" si="14"/>
        <v>2</v>
      </c>
      <c r="S76" s="21">
        <f t="shared" si="15"/>
        <v>185</v>
      </c>
      <c r="T76" s="21">
        <f t="shared" si="16"/>
        <v>24</v>
      </c>
      <c r="U76" s="21">
        <f>K76+P76</f>
        <v>22</v>
      </c>
      <c r="V76" s="21">
        <f t="shared" si="17"/>
        <v>-163</v>
      </c>
      <c r="W76" s="11">
        <f>I76+J76+K76</f>
        <v>197</v>
      </c>
      <c r="X76" s="11">
        <f>N76+O76+P76</f>
        <v>10</v>
      </c>
      <c r="Y76" s="12">
        <f t="shared" si="18"/>
        <v>207</v>
      </c>
      <c r="Z76" s="13">
        <f>I76+K76</f>
        <v>175</v>
      </c>
      <c r="AA76" s="13">
        <f>N76+P76</f>
        <v>8</v>
      </c>
      <c r="AB76" s="14">
        <f t="shared" si="19"/>
        <v>183</v>
      </c>
      <c r="AC76" s="35">
        <f>W76/F76</f>
        <v>0.69366197183098588</v>
      </c>
      <c r="AD76" s="35">
        <f>X76/G76</f>
        <v>0.58823529411764708</v>
      </c>
      <c r="AE76" s="15">
        <f>Y76/H76</f>
        <v>0.68770764119601324</v>
      </c>
      <c r="AF76" s="36">
        <f>Z76/F76</f>
        <v>0.61619718309859151</v>
      </c>
      <c r="AG76" s="36">
        <f>AA76/G76</f>
        <v>0.47058823529411764</v>
      </c>
      <c r="AH76" s="15">
        <f>AB76/H76</f>
        <v>0.60797342192691028</v>
      </c>
    </row>
    <row r="77" spans="1:34" x14ac:dyDescent="0.35">
      <c r="A77" s="8">
        <v>74</v>
      </c>
      <c r="B77" s="1" t="s">
        <v>206</v>
      </c>
      <c r="C77" s="1" t="s">
        <v>207</v>
      </c>
      <c r="D77" s="1" t="s">
        <v>15</v>
      </c>
      <c r="E77" s="1" t="s">
        <v>37</v>
      </c>
      <c r="F77" s="9">
        <v>363</v>
      </c>
      <c r="G77" s="9">
        <v>10</v>
      </c>
      <c r="H77" s="10">
        <f t="shared" si="10"/>
        <v>373</v>
      </c>
      <c r="I77" s="17">
        <v>156</v>
      </c>
      <c r="J77" s="17">
        <v>42</v>
      </c>
      <c r="K77" s="17">
        <v>24</v>
      </c>
      <c r="L77" s="17">
        <f t="shared" si="11"/>
        <v>198</v>
      </c>
      <c r="M77" s="18">
        <f t="shared" si="12"/>
        <v>-18</v>
      </c>
      <c r="N77" s="19">
        <v>1</v>
      </c>
      <c r="O77" s="19">
        <v>8</v>
      </c>
      <c r="P77" s="19">
        <v>5</v>
      </c>
      <c r="Q77" s="19">
        <f t="shared" si="13"/>
        <v>9</v>
      </c>
      <c r="R77" s="20">
        <f t="shared" si="14"/>
        <v>-3</v>
      </c>
      <c r="S77" s="21">
        <f t="shared" si="15"/>
        <v>207</v>
      </c>
      <c r="T77" s="21">
        <f t="shared" si="16"/>
        <v>50</v>
      </c>
      <c r="U77" s="21">
        <f>K77+P77</f>
        <v>29</v>
      </c>
      <c r="V77" s="21">
        <f t="shared" si="17"/>
        <v>-178</v>
      </c>
      <c r="W77" s="11">
        <f>I77+J77+K77</f>
        <v>222</v>
      </c>
      <c r="X77" s="11">
        <f>N77+O77+P77</f>
        <v>14</v>
      </c>
      <c r="Y77" s="12">
        <f t="shared" si="18"/>
        <v>236</v>
      </c>
      <c r="Z77" s="13">
        <f>I77+K77</f>
        <v>180</v>
      </c>
      <c r="AA77" s="13">
        <f>N77+P77</f>
        <v>6</v>
      </c>
      <c r="AB77" s="14">
        <f t="shared" si="19"/>
        <v>186</v>
      </c>
      <c r="AC77" s="35">
        <f>W77/F77</f>
        <v>0.61157024793388426</v>
      </c>
      <c r="AD77" s="35">
        <f>X77/G77</f>
        <v>1.4</v>
      </c>
      <c r="AE77" s="15">
        <f>Y77/H77</f>
        <v>0.63270777479892759</v>
      </c>
      <c r="AF77" s="36">
        <f>Z77/F77</f>
        <v>0.49586776859504134</v>
      </c>
      <c r="AG77" s="36">
        <f>AA77/G77</f>
        <v>0.6</v>
      </c>
      <c r="AH77" s="15">
        <f>AB77/H77</f>
        <v>0.49865951742627346</v>
      </c>
    </row>
    <row r="78" spans="1:34" x14ac:dyDescent="0.35">
      <c r="A78" s="8">
        <v>75</v>
      </c>
      <c r="B78" s="1" t="s">
        <v>208</v>
      </c>
      <c r="C78" s="1" t="s">
        <v>209</v>
      </c>
      <c r="D78" s="1" t="s">
        <v>15</v>
      </c>
      <c r="E78" s="1" t="s">
        <v>93</v>
      </c>
      <c r="F78" s="9">
        <v>344</v>
      </c>
      <c r="G78" s="9">
        <v>64</v>
      </c>
      <c r="H78" s="10">
        <f t="shared" si="10"/>
        <v>408</v>
      </c>
      <c r="I78" s="17">
        <v>149</v>
      </c>
      <c r="J78" s="17">
        <v>21</v>
      </c>
      <c r="K78" s="17">
        <v>18</v>
      </c>
      <c r="L78" s="17">
        <f t="shared" si="11"/>
        <v>170</v>
      </c>
      <c r="M78" s="18">
        <f t="shared" si="12"/>
        <v>-3</v>
      </c>
      <c r="N78" s="19">
        <v>4</v>
      </c>
      <c r="O78" s="19">
        <v>8</v>
      </c>
      <c r="P78" s="19">
        <v>4</v>
      </c>
      <c r="Q78" s="19">
        <f t="shared" si="13"/>
        <v>12</v>
      </c>
      <c r="R78" s="20">
        <f t="shared" si="14"/>
        <v>-4</v>
      </c>
      <c r="S78" s="21">
        <f t="shared" si="15"/>
        <v>182</v>
      </c>
      <c r="T78" s="21">
        <f t="shared" si="16"/>
        <v>29</v>
      </c>
      <c r="U78" s="21">
        <f>K78+P78</f>
        <v>22</v>
      </c>
      <c r="V78" s="21">
        <f t="shared" si="17"/>
        <v>-160</v>
      </c>
      <c r="W78" s="11">
        <f>I78+J78+K78</f>
        <v>188</v>
      </c>
      <c r="X78" s="11">
        <f>N78+O78+P78</f>
        <v>16</v>
      </c>
      <c r="Y78" s="12">
        <f t="shared" si="18"/>
        <v>204</v>
      </c>
      <c r="Z78" s="13">
        <f>I78+K78</f>
        <v>167</v>
      </c>
      <c r="AA78" s="13">
        <f>N78+P78</f>
        <v>8</v>
      </c>
      <c r="AB78" s="14">
        <f t="shared" si="19"/>
        <v>175</v>
      </c>
      <c r="AC78" s="35">
        <f>W78/F78</f>
        <v>0.54651162790697672</v>
      </c>
      <c r="AD78" s="35">
        <f>X78/G78</f>
        <v>0.25</v>
      </c>
      <c r="AE78" s="15">
        <f>Y78/H78</f>
        <v>0.5</v>
      </c>
      <c r="AF78" s="36">
        <f>Z78/F78</f>
        <v>0.48546511627906974</v>
      </c>
      <c r="AG78" s="36">
        <f>AA78/G78</f>
        <v>0.125</v>
      </c>
      <c r="AH78" s="15">
        <f>AB78/H78</f>
        <v>0.42892156862745096</v>
      </c>
    </row>
    <row r="79" spans="1:34" x14ac:dyDescent="0.35">
      <c r="A79" s="8">
        <v>76</v>
      </c>
      <c r="B79" s="1" t="s">
        <v>210</v>
      </c>
      <c r="C79" s="1" t="s">
        <v>211</v>
      </c>
      <c r="D79" s="1" t="s">
        <v>15</v>
      </c>
      <c r="E79" s="1" t="s">
        <v>37</v>
      </c>
      <c r="F79" s="9">
        <v>266</v>
      </c>
      <c r="G79" s="9">
        <v>31</v>
      </c>
      <c r="H79" s="10">
        <f t="shared" si="10"/>
        <v>297</v>
      </c>
      <c r="I79" s="17">
        <v>107</v>
      </c>
      <c r="J79" s="17">
        <v>11</v>
      </c>
      <c r="K79" s="17">
        <v>64</v>
      </c>
      <c r="L79" s="17">
        <f t="shared" si="11"/>
        <v>118</v>
      </c>
      <c r="M79" s="18">
        <f t="shared" si="12"/>
        <v>53</v>
      </c>
      <c r="N79" s="19">
        <v>9</v>
      </c>
      <c r="O79" s="19">
        <v>16</v>
      </c>
      <c r="P79" s="19">
        <v>20</v>
      </c>
      <c r="Q79" s="19">
        <f t="shared" si="13"/>
        <v>25</v>
      </c>
      <c r="R79" s="20">
        <f t="shared" si="14"/>
        <v>4</v>
      </c>
      <c r="S79" s="21">
        <f t="shared" si="15"/>
        <v>143</v>
      </c>
      <c r="T79" s="21">
        <f t="shared" si="16"/>
        <v>27</v>
      </c>
      <c r="U79" s="21">
        <f>K79+P79</f>
        <v>84</v>
      </c>
      <c r="V79" s="21">
        <f t="shared" si="17"/>
        <v>-59</v>
      </c>
      <c r="W79" s="11">
        <f>I79+J79+K79</f>
        <v>182</v>
      </c>
      <c r="X79" s="11">
        <f>N79+O79+P79</f>
        <v>45</v>
      </c>
      <c r="Y79" s="12">
        <f t="shared" si="18"/>
        <v>227</v>
      </c>
      <c r="Z79" s="13">
        <f>I79+K79</f>
        <v>171</v>
      </c>
      <c r="AA79" s="13">
        <f>N79+P79</f>
        <v>29</v>
      </c>
      <c r="AB79" s="14">
        <f t="shared" si="19"/>
        <v>200</v>
      </c>
      <c r="AC79" s="35">
        <f>W79/F79</f>
        <v>0.68421052631578949</v>
      </c>
      <c r="AD79" s="35">
        <f>X79/G79</f>
        <v>1.4516129032258065</v>
      </c>
      <c r="AE79" s="15">
        <f>Y79/H79</f>
        <v>0.76430976430976427</v>
      </c>
      <c r="AF79" s="36">
        <f>Z79/F79</f>
        <v>0.6428571428571429</v>
      </c>
      <c r="AG79" s="36">
        <f>AA79/G79</f>
        <v>0.93548387096774188</v>
      </c>
      <c r="AH79" s="15">
        <f>AB79/H79</f>
        <v>0.67340067340067344</v>
      </c>
    </row>
    <row r="80" spans="1:34" x14ac:dyDescent="0.35">
      <c r="A80" s="8">
        <v>77</v>
      </c>
      <c r="B80" s="1" t="s">
        <v>212</v>
      </c>
      <c r="C80" s="1" t="s">
        <v>213</v>
      </c>
      <c r="D80" s="1" t="s">
        <v>15</v>
      </c>
      <c r="E80" s="1" t="s">
        <v>16</v>
      </c>
      <c r="F80" s="9">
        <v>327</v>
      </c>
      <c r="G80" s="9">
        <v>57</v>
      </c>
      <c r="H80" s="10">
        <f t="shared" si="10"/>
        <v>384</v>
      </c>
      <c r="I80" s="17">
        <v>89</v>
      </c>
      <c r="J80" s="17">
        <v>76</v>
      </c>
      <c r="K80" s="17">
        <v>28</v>
      </c>
      <c r="L80" s="17">
        <f t="shared" si="11"/>
        <v>165</v>
      </c>
      <c r="M80" s="18">
        <f t="shared" si="12"/>
        <v>-48</v>
      </c>
      <c r="N80" s="19">
        <v>1</v>
      </c>
      <c r="O80" s="19">
        <v>8</v>
      </c>
      <c r="P80" s="19">
        <v>2</v>
      </c>
      <c r="Q80" s="19">
        <f t="shared" si="13"/>
        <v>9</v>
      </c>
      <c r="R80" s="20">
        <f t="shared" si="14"/>
        <v>-6</v>
      </c>
      <c r="S80" s="21">
        <f t="shared" si="15"/>
        <v>174</v>
      </c>
      <c r="T80" s="21">
        <f t="shared" si="16"/>
        <v>84</v>
      </c>
      <c r="U80" s="21">
        <f>K80+P80</f>
        <v>30</v>
      </c>
      <c r="V80" s="21">
        <f t="shared" si="17"/>
        <v>-144</v>
      </c>
      <c r="W80" s="11">
        <f>I80+J80+K80</f>
        <v>193</v>
      </c>
      <c r="X80" s="11">
        <f>N80+O80+P80</f>
        <v>11</v>
      </c>
      <c r="Y80" s="12">
        <f t="shared" si="18"/>
        <v>204</v>
      </c>
      <c r="Z80" s="13">
        <f>I80+K80</f>
        <v>117</v>
      </c>
      <c r="AA80" s="13">
        <f>N80+P80</f>
        <v>3</v>
      </c>
      <c r="AB80" s="14">
        <f t="shared" si="19"/>
        <v>120</v>
      </c>
      <c r="AC80" s="35">
        <f>W80/F80</f>
        <v>0.59021406727828751</v>
      </c>
      <c r="AD80" s="35">
        <f>X80/G80</f>
        <v>0.19298245614035087</v>
      </c>
      <c r="AE80" s="15">
        <f>Y80/H80</f>
        <v>0.53125</v>
      </c>
      <c r="AF80" s="36">
        <f>Z80/F80</f>
        <v>0.3577981651376147</v>
      </c>
      <c r="AG80" s="36">
        <f>AA80/G80</f>
        <v>5.2631578947368418E-2</v>
      </c>
      <c r="AH80" s="15">
        <f>AB80/H80</f>
        <v>0.3125</v>
      </c>
    </row>
    <row r="81" spans="1:34" x14ac:dyDescent="0.35">
      <c r="A81" s="8">
        <v>78</v>
      </c>
      <c r="B81" s="1" t="s">
        <v>214</v>
      </c>
      <c r="C81" s="1" t="s">
        <v>215</v>
      </c>
      <c r="D81" s="1" t="s">
        <v>15</v>
      </c>
      <c r="E81" s="1" t="s">
        <v>34</v>
      </c>
      <c r="F81" s="9">
        <v>330</v>
      </c>
      <c r="G81" s="9">
        <v>31</v>
      </c>
      <c r="H81" s="10">
        <f t="shared" si="10"/>
        <v>361</v>
      </c>
      <c r="I81" s="17">
        <v>160</v>
      </c>
      <c r="J81" s="17">
        <v>13</v>
      </c>
      <c r="K81" s="17">
        <v>20</v>
      </c>
      <c r="L81" s="17">
        <f t="shared" si="11"/>
        <v>173</v>
      </c>
      <c r="M81" s="18">
        <f t="shared" si="12"/>
        <v>7</v>
      </c>
      <c r="N81" s="19">
        <v>2</v>
      </c>
      <c r="O81" s="19">
        <v>4</v>
      </c>
      <c r="P81" s="19">
        <v>5</v>
      </c>
      <c r="Q81" s="19">
        <f t="shared" si="13"/>
        <v>6</v>
      </c>
      <c r="R81" s="20">
        <f t="shared" si="14"/>
        <v>1</v>
      </c>
      <c r="S81" s="21">
        <f t="shared" si="15"/>
        <v>179</v>
      </c>
      <c r="T81" s="21">
        <f t="shared" si="16"/>
        <v>17</v>
      </c>
      <c r="U81" s="21">
        <f>K81+P81</f>
        <v>25</v>
      </c>
      <c r="V81" s="21">
        <f t="shared" si="17"/>
        <v>-154</v>
      </c>
      <c r="W81" s="11">
        <f>I81+J81+K81</f>
        <v>193</v>
      </c>
      <c r="X81" s="11">
        <f>N81+O81+P81</f>
        <v>11</v>
      </c>
      <c r="Y81" s="12">
        <f t="shared" si="18"/>
        <v>204</v>
      </c>
      <c r="Z81" s="13">
        <f>I81+K81</f>
        <v>180</v>
      </c>
      <c r="AA81" s="13">
        <f>N81+P81</f>
        <v>7</v>
      </c>
      <c r="AB81" s="14">
        <f t="shared" si="19"/>
        <v>187</v>
      </c>
      <c r="AC81" s="35">
        <f>W81/F81</f>
        <v>0.58484848484848484</v>
      </c>
      <c r="AD81" s="35">
        <f>X81/G81</f>
        <v>0.35483870967741937</v>
      </c>
      <c r="AE81" s="15">
        <f>Y81/H81</f>
        <v>0.5650969529085873</v>
      </c>
      <c r="AF81" s="36">
        <f>Z81/F81</f>
        <v>0.54545454545454541</v>
      </c>
      <c r="AG81" s="36">
        <f>AA81/G81</f>
        <v>0.22580645161290322</v>
      </c>
      <c r="AH81" s="15">
        <f>AB81/H81</f>
        <v>0.51800554016620504</v>
      </c>
    </row>
    <row r="82" spans="1:34" x14ac:dyDescent="0.35">
      <c r="A82" s="8">
        <v>79</v>
      </c>
      <c r="B82" s="1" t="s">
        <v>216</v>
      </c>
      <c r="C82" s="1" t="s">
        <v>217</v>
      </c>
      <c r="D82" s="1" t="s">
        <v>15</v>
      </c>
      <c r="E82" s="1" t="s">
        <v>34</v>
      </c>
      <c r="F82" s="9">
        <v>330</v>
      </c>
      <c r="G82" s="9">
        <v>22</v>
      </c>
      <c r="H82" s="10">
        <f t="shared" si="10"/>
        <v>352</v>
      </c>
      <c r="I82" s="17">
        <v>99</v>
      </c>
      <c r="J82" s="17">
        <v>15</v>
      </c>
      <c r="K82" s="17">
        <v>25</v>
      </c>
      <c r="L82" s="17">
        <f t="shared" si="11"/>
        <v>114</v>
      </c>
      <c r="M82" s="18">
        <f t="shared" si="12"/>
        <v>10</v>
      </c>
      <c r="N82" s="19">
        <v>6</v>
      </c>
      <c r="O82" s="19">
        <v>2</v>
      </c>
      <c r="P82" s="19">
        <v>8</v>
      </c>
      <c r="Q82" s="19">
        <f t="shared" si="13"/>
        <v>8</v>
      </c>
      <c r="R82" s="20">
        <f t="shared" si="14"/>
        <v>6</v>
      </c>
      <c r="S82" s="21">
        <f t="shared" si="15"/>
        <v>122</v>
      </c>
      <c r="T82" s="21">
        <f t="shared" si="16"/>
        <v>17</v>
      </c>
      <c r="U82" s="21">
        <f>K82+P82</f>
        <v>33</v>
      </c>
      <c r="V82" s="21">
        <f t="shared" si="17"/>
        <v>-89</v>
      </c>
      <c r="W82" s="11">
        <f>I82+J82+K82</f>
        <v>139</v>
      </c>
      <c r="X82" s="11">
        <f>N82+O82+P82</f>
        <v>16</v>
      </c>
      <c r="Y82" s="12">
        <f t="shared" si="18"/>
        <v>155</v>
      </c>
      <c r="Z82" s="13">
        <f>I82+K82</f>
        <v>124</v>
      </c>
      <c r="AA82" s="13">
        <f>N82+P82</f>
        <v>14</v>
      </c>
      <c r="AB82" s="14">
        <f t="shared" si="19"/>
        <v>138</v>
      </c>
      <c r="AC82" s="35">
        <f>W82/F82</f>
        <v>0.4212121212121212</v>
      </c>
      <c r="AD82" s="35">
        <f>X82/G82</f>
        <v>0.72727272727272729</v>
      </c>
      <c r="AE82" s="15">
        <f>Y82/H82</f>
        <v>0.44034090909090912</v>
      </c>
      <c r="AF82" s="36">
        <f>Z82/F82</f>
        <v>0.37575757575757573</v>
      </c>
      <c r="AG82" s="36">
        <f>AA82/G82</f>
        <v>0.63636363636363635</v>
      </c>
      <c r="AH82" s="15">
        <f>AB82/H82</f>
        <v>0.39204545454545453</v>
      </c>
    </row>
    <row r="83" spans="1:34" x14ac:dyDescent="0.35">
      <c r="A83" s="8">
        <v>80</v>
      </c>
      <c r="B83" s="1" t="s">
        <v>218</v>
      </c>
      <c r="C83" s="1" t="s">
        <v>219</v>
      </c>
      <c r="D83" s="1" t="s">
        <v>15</v>
      </c>
      <c r="E83" s="1" t="s">
        <v>51</v>
      </c>
      <c r="F83" s="9">
        <v>334</v>
      </c>
      <c r="G83" s="9">
        <v>18</v>
      </c>
      <c r="H83" s="10">
        <f t="shared" si="10"/>
        <v>352</v>
      </c>
      <c r="I83" s="17">
        <v>135</v>
      </c>
      <c r="J83" s="17">
        <v>42</v>
      </c>
      <c r="K83" s="17">
        <v>22</v>
      </c>
      <c r="L83" s="17">
        <f t="shared" si="11"/>
        <v>177</v>
      </c>
      <c r="M83" s="18">
        <f t="shared" si="12"/>
        <v>-20</v>
      </c>
      <c r="N83" s="19">
        <v>4</v>
      </c>
      <c r="O83" s="19">
        <v>7</v>
      </c>
      <c r="P83" s="19">
        <v>6</v>
      </c>
      <c r="Q83" s="19">
        <f t="shared" si="13"/>
        <v>11</v>
      </c>
      <c r="R83" s="20">
        <f t="shared" si="14"/>
        <v>-1</v>
      </c>
      <c r="S83" s="21">
        <f t="shared" si="15"/>
        <v>188</v>
      </c>
      <c r="T83" s="21">
        <f t="shared" si="16"/>
        <v>49</v>
      </c>
      <c r="U83" s="21">
        <f>K83+P83</f>
        <v>28</v>
      </c>
      <c r="V83" s="21">
        <f t="shared" si="17"/>
        <v>-160</v>
      </c>
      <c r="W83" s="11">
        <f>I83+J83+K83</f>
        <v>199</v>
      </c>
      <c r="X83" s="11">
        <f>N83+O83+P83</f>
        <v>17</v>
      </c>
      <c r="Y83" s="12">
        <f t="shared" si="18"/>
        <v>216</v>
      </c>
      <c r="Z83" s="13">
        <f>I83+K83</f>
        <v>157</v>
      </c>
      <c r="AA83" s="13">
        <f>N83+P83</f>
        <v>10</v>
      </c>
      <c r="AB83" s="14">
        <f t="shared" si="19"/>
        <v>167</v>
      </c>
      <c r="AC83" s="35">
        <f>W83/F83</f>
        <v>0.59580838323353291</v>
      </c>
      <c r="AD83" s="35">
        <f>X83/G83</f>
        <v>0.94444444444444442</v>
      </c>
      <c r="AE83" s="15">
        <f>Y83/H83</f>
        <v>0.61363636363636365</v>
      </c>
      <c r="AF83" s="36">
        <f>Z83/F83</f>
        <v>0.47005988023952094</v>
      </c>
      <c r="AG83" s="36">
        <f>AA83/G83</f>
        <v>0.55555555555555558</v>
      </c>
      <c r="AH83" s="15">
        <f>AB83/H83</f>
        <v>0.47443181818181818</v>
      </c>
    </row>
    <row r="84" spans="1:34" x14ac:dyDescent="0.35">
      <c r="A84" s="8">
        <v>81</v>
      </c>
      <c r="B84" s="1" t="s">
        <v>222</v>
      </c>
      <c r="C84" s="1" t="s">
        <v>223</v>
      </c>
      <c r="D84" s="1" t="s">
        <v>15</v>
      </c>
      <c r="E84" s="1" t="s">
        <v>88</v>
      </c>
      <c r="F84" s="9">
        <v>240</v>
      </c>
      <c r="G84" s="9">
        <v>65</v>
      </c>
      <c r="H84" s="10">
        <f t="shared" si="10"/>
        <v>305</v>
      </c>
      <c r="I84" s="17">
        <v>81</v>
      </c>
      <c r="J84" s="17">
        <v>26</v>
      </c>
      <c r="K84" s="17">
        <v>2</v>
      </c>
      <c r="L84" s="17">
        <f t="shared" si="11"/>
        <v>107</v>
      </c>
      <c r="M84" s="18">
        <f t="shared" si="12"/>
        <v>-24</v>
      </c>
      <c r="N84" s="19">
        <v>5</v>
      </c>
      <c r="O84" s="19">
        <v>17</v>
      </c>
      <c r="P84" s="19">
        <v>5</v>
      </c>
      <c r="Q84" s="19">
        <f t="shared" si="13"/>
        <v>22</v>
      </c>
      <c r="R84" s="20">
        <f t="shared" si="14"/>
        <v>-12</v>
      </c>
      <c r="S84" s="21">
        <f t="shared" si="15"/>
        <v>129</v>
      </c>
      <c r="T84" s="21">
        <f t="shared" si="16"/>
        <v>43</v>
      </c>
      <c r="U84" s="21">
        <f>K84+P84</f>
        <v>7</v>
      </c>
      <c r="V84" s="21">
        <f t="shared" si="17"/>
        <v>-122</v>
      </c>
      <c r="W84" s="11">
        <f>I84+J84+K84</f>
        <v>109</v>
      </c>
      <c r="X84" s="11">
        <f>N84+O84+P84</f>
        <v>27</v>
      </c>
      <c r="Y84" s="12">
        <f t="shared" si="18"/>
        <v>136</v>
      </c>
      <c r="Z84" s="13">
        <f>I84+K84</f>
        <v>83</v>
      </c>
      <c r="AA84" s="13">
        <f>N84+P84</f>
        <v>10</v>
      </c>
      <c r="AB84" s="14">
        <f t="shared" si="19"/>
        <v>93</v>
      </c>
      <c r="AC84" s="35">
        <f>W84/F84</f>
        <v>0.45416666666666666</v>
      </c>
      <c r="AD84" s="35">
        <f>X84/G84</f>
        <v>0.41538461538461541</v>
      </c>
      <c r="AE84" s="15">
        <f>Y84/H84</f>
        <v>0.4459016393442623</v>
      </c>
      <c r="AF84" s="36">
        <f>Z84/F84</f>
        <v>0.34583333333333333</v>
      </c>
      <c r="AG84" s="36">
        <f>AA84/G84</f>
        <v>0.15384615384615385</v>
      </c>
      <c r="AH84" s="15">
        <f>AB84/H84</f>
        <v>0.30491803278688523</v>
      </c>
    </row>
    <row r="85" spans="1:34" x14ac:dyDescent="0.35">
      <c r="A85" s="8">
        <v>82</v>
      </c>
      <c r="B85" s="1" t="s">
        <v>224</v>
      </c>
      <c r="C85" s="1" t="s">
        <v>225</v>
      </c>
      <c r="D85" s="1" t="s">
        <v>15</v>
      </c>
      <c r="E85" s="1" t="s">
        <v>48</v>
      </c>
      <c r="F85" s="9">
        <v>312</v>
      </c>
      <c r="G85" s="9">
        <v>75</v>
      </c>
      <c r="H85" s="10">
        <f t="shared" si="10"/>
        <v>387</v>
      </c>
      <c r="I85" s="17">
        <v>145</v>
      </c>
      <c r="J85" s="17">
        <v>33</v>
      </c>
      <c r="K85" s="17">
        <v>6</v>
      </c>
      <c r="L85" s="17">
        <f t="shared" si="11"/>
        <v>178</v>
      </c>
      <c r="M85" s="18">
        <f t="shared" si="12"/>
        <v>-27</v>
      </c>
      <c r="N85" s="19">
        <v>4</v>
      </c>
      <c r="O85" s="19">
        <v>11</v>
      </c>
      <c r="P85" s="19">
        <v>6</v>
      </c>
      <c r="Q85" s="19">
        <f t="shared" si="13"/>
        <v>15</v>
      </c>
      <c r="R85" s="20">
        <f t="shared" si="14"/>
        <v>-5</v>
      </c>
      <c r="S85" s="21">
        <f t="shared" si="15"/>
        <v>193</v>
      </c>
      <c r="T85" s="21">
        <f t="shared" si="16"/>
        <v>44</v>
      </c>
      <c r="U85" s="21">
        <f>K85+P85</f>
        <v>12</v>
      </c>
      <c r="V85" s="21">
        <f t="shared" si="17"/>
        <v>-181</v>
      </c>
      <c r="W85" s="11">
        <f>I85+J85+K85</f>
        <v>184</v>
      </c>
      <c r="X85" s="11">
        <f>N85+O85+P85</f>
        <v>21</v>
      </c>
      <c r="Y85" s="12">
        <f t="shared" si="18"/>
        <v>205</v>
      </c>
      <c r="Z85" s="13">
        <f>I85+K85</f>
        <v>151</v>
      </c>
      <c r="AA85" s="13">
        <f>N85+P85</f>
        <v>10</v>
      </c>
      <c r="AB85" s="14">
        <f t="shared" si="19"/>
        <v>161</v>
      </c>
      <c r="AC85" s="35">
        <f>W85/F85</f>
        <v>0.58974358974358976</v>
      </c>
      <c r="AD85" s="35">
        <f>X85/G85</f>
        <v>0.28000000000000003</v>
      </c>
      <c r="AE85" s="15">
        <f>Y85/H85</f>
        <v>0.52971576227390182</v>
      </c>
      <c r="AF85" s="36">
        <f>Z85/F85</f>
        <v>0.48397435897435898</v>
      </c>
      <c r="AG85" s="36">
        <f>AA85/G85</f>
        <v>0.13333333333333333</v>
      </c>
      <c r="AH85" s="15">
        <f>AB85/H85</f>
        <v>0.41602067183462532</v>
      </c>
    </row>
    <row r="86" spans="1:34" x14ac:dyDescent="0.35">
      <c r="A86" s="8">
        <v>83</v>
      </c>
      <c r="B86" s="1" t="s">
        <v>226</v>
      </c>
      <c r="C86" s="1" t="s">
        <v>227</v>
      </c>
      <c r="D86" s="1" t="s">
        <v>15</v>
      </c>
      <c r="E86" s="1" t="s">
        <v>37</v>
      </c>
      <c r="F86" s="9">
        <v>327</v>
      </c>
      <c r="G86" s="9">
        <v>39</v>
      </c>
      <c r="H86" s="10">
        <f t="shared" si="10"/>
        <v>366</v>
      </c>
      <c r="I86" s="17">
        <v>109</v>
      </c>
      <c r="J86" s="17">
        <v>31</v>
      </c>
      <c r="K86" s="17">
        <v>41</v>
      </c>
      <c r="L86" s="17">
        <f t="shared" si="11"/>
        <v>140</v>
      </c>
      <c r="M86" s="18">
        <f t="shared" si="12"/>
        <v>10</v>
      </c>
      <c r="N86" s="19">
        <v>9</v>
      </c>
      <c r="O86" s="19">
        <v>16</v>
      </c>
      <c r="P86" s="19">
        <v>21</v>
      </c>
      <c r="Q86" s="19">
        <f t="shared" si="13"/>
        <v>25</v>
      </c>
      <c r="R86" s="20">
        <f t="shared" si="14"/>
        <v>5</v>
      </c>
      <c r="S86" s="21">
        <f t="shared" si="15"/>
        <v>165</v>
      </c>
      <c r="T86" s="21">
        <f t="shared" si="16"/>
        <v>47</v>
      </c>
      <c r="U86" s="21">
        <f>K86+P86</f>
        <v>62</v>
      </c>
      <c r="V86" s="21">
        <f t="shared" si="17"/>
        <v>-103</v>
      </c>
      <c r="W86" s="11">
        <f>I86+J86+K86</f>
        <v>181</v>
      </c>
      <c r="X86" s="11">
        <f>N86+O86+P86</f>
        <v>46</v>
      </c>
      <c r="Y86" s="12">
        <f t="shared" si="18"/>
        <v>227</v>
      </c>
      <c r="Z86" s="13">
        <f>I86+K86</f>
        <v>150</v>
      </c>
      <c r="AA86" s="13">
        <f>N86+P86</f>
        <v>30</v>
      </c>
      <c r="AB86" s="14">
        <f t="shared" si="19"/>
        <v>180</v>
      </c>
      <c r="AC86" s="35">
        <f>W86/F86</f>
        <v>0.55351681957186549</v>
      </c>
      <c r="AD86" s="35">
        <f>X86/G86</f>
        <v>1.1794871794871795</v>
      </c>
      <c r="AE86" s="15">
        <f>Y86/H86</f>
        <v>0.6202185792349727</v>
      </c>
      <c r="AF86" s="36">
        <f>Z86/F86</f>
        <v>0.45871559633027525</v>
      </c>
      <c r="AG86" s="36">
        <f>AA86/G86</f>
        <v>0.76923076923076927</v>
      </c>
      <c r="AH86" s="15">
        <f>AB86/H86</f>
        <v>0.49180327868852458</v>
      </c>
    </row>
    <row r="87" spans="1:34" x14ac:dyDescent="0.35">
      <c r="A87" s="8">
        <v>84</v>
      </c>
      <c r="B87" s="1" t="s">
        <v>231</v>
      </c>
      <c r="C87" s="1" t="s">
        <v>232</v>
      </c>
      <c r="D87" s="1" t="s">
        <v>15</v>
      </c>
      <c r="E87" s="1" t="s">
        <v>37</v>
      </c>
      <c r="F87" s="9">
        <v>321</v>
      </c>
      <c r="G87" s="9">
        <v>33</v>
      </c>
      <c r="H87" s="10">
        <f t="shared" si="10"/>
        <v>354</v>
      </c>
      <c r="I87" s="17">
        <v>117</v>
      </c>
      <c r="J87" s="17">
        <v>24</v>
      </c>
      <c r="K87" s="17">
        <v>24</v>
      </c>
      <c r="L87" s="17">
        <f t="shared" si="11"/>
        <v>141</v>
      </c>
      <c r="M87" s="18">
        <f t="shared" si="12"/>
        <v>0</v>
      </c>
      <c r="N87" s="19">
        <v>6</v>
      </c>
      <c r="O87" s="19">
        <v>13</v>
      </c>
      <c r="P87" s="19">
        <v>13</v>
      </c>
      <c r="Q87" s="19">
        <f t="shared" si="13"/>
        <v>19</v>
      </c>
      <c r="R87" s="20">
        <f t="shared" si="14"/>
        <v>0</v>
      </c>
      <c r="S87" s="21">
        <f t="shared" si="15"/>
        <v>160</v>
      </c>
      <c r="T87" s="21">
        <f t="shared" si="16"/>
        <v>37</v>
      </c>
      <c r="U87" s="21">
        <f>K87+P87</f>
        <v>37</v>
      </c>
      <c r="V87" s="21">
        <f t="shared" si="17"/>
        <v>-123</v>
      </c>
      <c r="W87" s="11">
        <f>I87+J87+K87</f>
        <v>165</v>
      </c>
      <c r="X87" s="11">
        <f>N87+O87+P87</f>
        <v>32</v>
      </c>
      <c r="Y87" s="12">
        <f t="shared" si="18"/>
        <v>197</v>
      </c>
      <c r="Z87" s="13">
        <f>I87+K87</f>
        <v>141</v>
      </c>
      <c r="AA87" s="13">
        <f>N87+P87</f>
        <v>19</v>
      </c>
      <c r="AB87" s="14">
        <f t="shared" si="19"/>
        <v>160</v>
      </c>
      <c r="AC87" s="35">
        <f>W87/F87</f>
        <v>0.51401869158878499</v>
      </c>
      <c r="AD87" s="35">
        <f>X87/G87</f>
        <v>0.96969696969696972</v>
      </c>
      <c r="AE87" s="15">
        <f>Y87/H87</f>
        <v>0.55649717514124297</v>
      </c>
      <c r="AF87" s="36">
        <f>Z87/F87</f>
        <v>0.43925233644859812</v>
      </c>
      <c r="AG87" s="36">
        <f>AA87/G87</f>
        <v>0.5757575757575758</v>
      </c>
      <c r="AH87" s="15">
        <f>AB87/H87</f>
        <v>0.4519774011299435</v>
      </c>
    </row>
    <row r="88" spans="1:34" x14ac:dyDescent="0.35">
      <c r="A88" s="8">
        <v>85</v>
      </c>
      <c r="B88" s="1" t="s">
        <v>235</v>
      </c>
      <c r="C88" s="1" t="s">
        <v>236</v>
      </c>
      <c r="D88" s="1" t="s">
        <v>15</v>
      </c>
      <c r="E88" s="1" t="s">
        <v>93</v>
      </c>
      <c r="F88" s="9">
        <v>402</v>
      </c>
      <c r="G88" s="9">
        <v>34</v>
      </c>
      <c r="H88" s="10">
        <f t="shared" si="10"/>
        <v>436</v>
      </c>
      <c r="I88" s="17">
        <v>135</v>
      </c>
      <c r="J88" s="17">
        <v>28</v>
      </c>
      <c r="K88" s="17">
        <v>30</v>
      </c>
      <c r="L88" s="17">
        <f t="shared" si="11"/>
        <v>163</v>
      </c>
      <c r="M88" s="18">
        <f t="shared" si="12"/>
        <v>2</v>
      </c>
      <c r="N88" s="19">
        <v>2</v>
      </c>
      <c r="O88" s="19">
        <v>4</v>
      </c>
      <c r="P88" s="19">
        <v>4</v>
      </c>
      <c r="Q88" s="19">
        <f t="shared" si="13"/>
        <v>6</v>
      </c>
      <c r="R88" s="20">
        <f t="shared" si="14"/>
        <v>0</v>
      </c>
      <c r="S88" s="21">
        <f t="shared" si="15"/>
        <v>169</v>
      </c>
      <c r="T88" s="21">
        <f t="shared" si="16"/>
        <v>32</v>
      </c>
      <c r="U88" s="21">
        <f>K88+P88</f>
        <v>34</v>
      </c>
      <c r="V88" s="21">
        <f t="shared" si="17"/>
        <v>-135</v>
      </c>
      <c r="W88" s="11">
        <f>I88+J88+K88</f>
        <v>193</v>
      </c>
      <c r="X88" s="11">
        <f>N88+O88+P88</f>
        <v>10</v>
      </c>
      <c r="Y88" s="12">
        <f t="shared" si="18"/>
        <v>203</v>
      </c>
      <c r="Z88" s="13">
        <f>I88+K88</f>
        <v>165</v>
      </c>
      <c r="AA88" s="13">
        <f>N88+P88</f>
        <v>6</v>
      </c>
      <c r="AB88" s="14">
        <f t="shared" si="19"/>
        <v>171</v>
      </c>
      <c r="AC88" s="35">
        <f>W88/F88</f>
        <v>0.48009950248756217</v>
      </c>
      <c r="AD88" s="35">
        <f>X88/G88</f>
        <v>0.29411764705882354</v>
      </c>
      <c r="AE88" s="15">
        <f>Y88/H88</f>
        <v>0.46559633027522934</v>
      </c>
      <c r="AF88" s="36">
        <f>Z88/F88</f>
        <v>0.41044776119402987</v>
      </c>
      <c r="AG88" s="36">
        <f>AA88/G88</f>
        <v>0.17647058823529413</v>
      </c>
      <c r="AH88" s="15">
        <f>AB88/H88</f>
        <v>0.3922018348623853</v>
      </c>
    </row>
    <row r="89" spans="1:34" x14ac:dyDescent="0.35">
      <c r="A89" s="8">
        <v>86</v>
      </c>
      <c r="B89" s="1" t="s">
        <v>237</v>
      </c>
      <c r="C89" s="1" t="s">
        <v>238</v>
      </c>
      <c r="D89" s="1" t="s">
        <v>15</v>
      </c>
      <c r="E89" s="1" t="s">
        <v>37</v>
      </c>
      <c r="F89" s="9">
        <v>299</v>
      </c>
      <c r="G89" s="9">
        <v>26</v>
      </c>
      <c r="H89" s="10">
        <f t="shared" si="10"/>
        <v>325</v>
      </c>
      <c r="I89" s="17">
        <v>140</v>
      </c>
      <c r="J89" s="17">
        <v>31</v>
      </c>
      <c r="K89" s="17">
        <v>16</v>
      </c>
      <c r="L89" s="17">
        <f t="shared" si="11"/>
        <v>171</v>
      </c>
      <c r="M89" s="18">
        <f t="shared" si="12"/>
        <v>-15</v>
      </c>
      <c r="N89" s="19">
        <v>0</v>
      </c>
      <c r="O89" s="19">
        <v>12</v>
      </c>
      <c r="P89" s="19">
        <v>3</v>
      </c>
      <c r="Q89" s="19">
        <f t="shared" si="13"/>
        <v>12</v>
      </c>
      <c r="R89" s="20">
        <f t="shared" si="14"/>
        <v>-9</v>
      </c>
      <c r="S89" s="21">
        <f t="shared" si="15"/>
        <v>183</v>
      </c>
      <c r="T89" s="21">
        <f t="shared" si="16"/>
        <v>43</v>
      </c>
      <c r="U89" s="21">
        <f>K89+P89</f>
        <v>19</v>
      </c>
      <c r="V89" s="21">
        <f t="shared" si="17"/>
        <v>-164</v>
      </c>
      <c r="W89" s="11">
        <f>I89+J89+K89</f>
        <v>187</v>
      </c>
      <c r="X89" s="11">
        <f>N89+O89+P89</f>
        <v>15</v>
      </c>
      <c r="Y89" s="12">
        <f t="shared" si="18"/>
        <v>202</v>
      </c>
      <c r="Z89" s="13">
        <f>I89+K89</f>
        <v>156</v>
      </c>
      <c r="AA89" s="13">
        <f>N89+P89</f>
        <v>3</v>
      </c>
      <c r="AB89" s="14">
        <f t="shared" si="19"/>
        <v>159</v>
      </c>
      <c r="AC89" s="35">
        <f>W89/F89</f>
        <v>0.62541806020066892</v>
      </c>
      <c r="AD89" s="35">
        <f>X89/G89</f>
        <v>0.57692307692307687</v>
      </c>
      <c r="AE89" s="15">
        <f>Y89/H89</f>
        <v>0.62153846153846148</v>
      </c>
      <c r="AF89" s="36">
        <f>Z89/F89</f>
        <v>0.52173913043478259</v>
      </c>
      <c r="AG89" s="36">
        <f>AA89/G89</f>
        <v>0.11538461538461539</v>
      </c>
      <c r="AH89" s="15">
        <f>AB89/H89</f>
        <v>0.48923076923076925</v>
      </c>
    </row>
    <row r="90" spans="1:34" x14ac:dyDescent="0.35">
      <c r="A90" s="8">
        <v>87</v>
      </c>
      <c r="B90" s="1" t="s">
        <v>239</v>
      </c>
      <c r="C90" s="1" t="s">
        <v>240</v>
      </c>
      <c r="D90" s="1" t="s">
        <v>15</v>
      </c>
      <c r="E90" s="1" t="s">
        <v>93</v>
      </c>
      <c r="F90" s="9">
        <v>399</v>
      </c>
      <c r="G90" s="9">
        <v>23</v>
      </c>
      <c r="H90" s="10">
        <f t="shared" si="10"/>
        <v>422</v>
      </c>
      <c r="I90" s="17">
        <v>137</v>
      </c>
      <c r="J90" s="17">
        <v>23</v>
      </c>
      <c r="K90" s="17">
        <v>40</v>
      </c>
      <c r="L90" s="17">
        <f t="shared" si="11"/>
        <v>160</v>
      </c>
      <c r="M90" s="18">
        <f t="shared" si="12"/>
        <v>17</v>
      </c>
      <c r="N90" s="19">
        <v>2</v>
      </c>
      <c r="O90" s="19">
        <v>5</v>
      </c>
      <c r="P90" s="19">
        <v>7</v>
      </c>
      <c r="Q90" s="19">
        <f t="shared" si="13"/>
        <v>7</v>
      </c>
      <c r="R90" s="20">
        <f t="shared" si="14"/>
        <v>2</v>
      </c>
      <c r="S90" s="21">
        <f t="shared" si="15"/>
        <v>167</v>
      </c>
      <c r="T90" s="21">
        <f t="shared" si="16"/>
        <v>28</v>
      </c>
      <c r="U90" s="21">
        <f>K90+P90</f>
        <v>47</v>
      </c>
      <c r="V90" s="21">
        <f t="shared" si="17"/>
        <v>-120</v>
      </c>
      <c r="W90" s="11">
        <f>I90+J90+K90</f>
        <v>200</v>
      </c>
      <c r="X90" s="11">
        <f>N90+O90+P90</f>
        <v>14</v>
      </c>
      <c r="Y90" s="12">
        <f t="shared" si="18"/>
        <v>214</v>
      </c>
      <c r="Z90" s="13">
        <f>I90+K90</f>
        <v>177</v>
      </c>
      <c r="AA90" s="13">
        <f>N90+P90</f>
        <v>9</v>
      </c>
      <c r="AB90" s="14">
        <f t="shared" si="19"/>
        <v>186</v>
      </c>
      <c r="AC90" s="35">
        <f>W90/F90</f>
        <v>0.50125313283208017</v>
      </c>
      <c r="AD90" s="35">
        <f>X90/G90</f>
        <v>0.60869565217391308</v>
      </c>
      <c r="AE90" s="15">
        <f>Y90/H90</f>
        <v>0.50710900473933651</v>
      </c>
      <c r="AF90" s="36">
        <f>Z90/F90</f>
        <v>0.44360902255639095</v>
      </c>
      <c r="AG90" s="36">
        <f>AA90/G90</f>
        <v>0.39130434782608697</v>
      </c>
      <c r="AH90" s="15">
        <f>AB90/H90</f>
        <v>0.44075829383886256</v>
      </c>
    </row>
    <row r="91" spans="1:34" x14ac:dyDescent="0.35">
      <c r="A91" s="8">
        <v>88</v>
      </c>
      <c r="B91" s="1" t="s">
        <v>243</v>
      </c>
      <c r="C91" s="1" t="s">
        <v>244</v>
      </c>
      <c r="D91" s="1" t="s">
        <v>15</v>
      </c>
      <c r="E91" s="1" t="s">
        <v>34</v>
      </c>
      <c r="F91" s="9">
        <v>312</v>
      </c>
      <c r="G91" s="9">
        <v>32</v>
      </c>
      <c r="H91" s="10">
        <f t="shared" si="10"/>
        <v>344</v>
      </c>
      <c r="I91" s="17">
        <v>114</v>
      </c>
      <c r="J91" s="17">
        <v>7</v>
      </c>
      <c r="K91" s="17">
        <v>25</v>
      </c>
      <c r="L91" s="17">
        <f t="shared" si="11"/>
        <v>121</v>
      </c>
      <c r="M91" s="18">
        <f t="shared" si="12"/>
        <v>18</v>
      </c>
      <c r="N91" s="19">
        <v>6</v>
      </c>
      <c r="O91" s="19">
        <v>10</v>
      </c>
      <c r="P91" s="19">
        <v>8</v>
      </c>
      <c r="Q91" s="19">
        <f t="shared" si="13"/>
        <v>16</v>
      </c>
      <c r="R91" s="20">
        <f t="shared" si="14"/>
        <v>-2</v>
      </c>
      <c r="S91" s="21">
        <f t="shared" si="15"/>
        <v>137</v>
      </c>
      <c r="T91" s="21">
        <f t="shared" si="16"/>
        <v>17</v>
      </c>
      <c r="U91" s="21">
        <f>K91+P91</f>
        <v>33</v>
      </c>
      <c r="V91" s="21">
        <f t="shared" si="17"/>
        <v>-104</v>
      </c>
      <c r="W91" s="11">
        <f>I91+J91+K91</f>
        <v>146</v>
      </c>
      <c r="X91" s="11">
        <f>N91+O91+P91</f>
        <v>24</v>
      </c>
      <c r="Y91" s="12">
        <f t="shared" si="18"/>
        <v>170</v>
      </c>
      <c r="Z91" s="13">
        <f>I91+K91</f>
        <v>139</v>
      </c>
      <c r="AA91" s="13">
        <f>N91+P91</f>
        <v>14</v>
      </c>
      <c r="AB91" s="14">
        <f t="shared" si="19"/>
        <v>153</v>
      </c>
      <c r="AC91" s="35">
        <f>W91/F91</f>
        <v>0.46794871794871795</v>
      </c>
      <c r="AD91" s="35">
        <f>X91/G91</f>
        <v>0.75</v>
      </c>
      <c r="AE91" s="15">
        <f>Y91/H91</f>
        <v>0.4941860465116279</v>
      </c>
      <c r="AF91" s="36">
        <f>Z91/F91</f>
        <v>0.44551282051282054</v>
      </c>
      <c r="AG91" s="36">
        <f>AA91/G91</f>
        <v>0.4375</v>
      </c>
      <c r="AH91" s="15">
        <f>AB91/H91</f>
        <v>0.44476744186046513</v>
      </c>
    </row>
    <row r="92" spans="1:34" x14ac:dyDescent="0.35">
      <c r="A92" s="8">
        <v>89</v>
      </c>
      <c r="B92" s="1" t="s">
        <v>245</v>
      </c>
      <c r="C92" s="1" t="s">
        <v>246</v>
      </c>
      <c r="D92" s="1" t="s">
        <v>15</v>
      </c>
      <c r="E92" s="1" t="s">
        <v>51</v>
      </c>
      <c r="F92" s="9">
        <v>310</v>
      </c>
      <c r="G92" s="9">
        <v>52</v>
      </c>
      <c r="H92" s="10">
        <f t="shared" si="10"/>
        <v>362</v>
      </c>
      <c r="I92" s="17">
        <v>166</v>
      </c>
      <c r="J92" s="17">
        <v>38</v>
      </c>
      <c r="K92" s="17">
        <v>35</v>
      </c>
      <c r="L92" s="17">
        <f t="shared" si="11"/>
        <v>204</v>
      </c>
      <c r="M92" s="18">
        <f t="shared" si="12"/>
        <v>-3</v>
      </c>
      <c r="N92" s="19">
        <v>2</v>
      </c>
      <c r="O92" s="19">
        <v>21</v>
      </c>
      <c r="P92" s="19">
        <v>5</v>
      </c>
      <c r="Q92" s="19">
        <f t="shared" si="13"/>
        <v>23</v>
      </c>
      <c r="R92" s="20">
        <f t="shared" si="14"/>
        <v>-16</v>
      </c>
      <c r="S92" s="21">
        <f t="shared" si="15"/>
        <v>227</v>
      </c>
      <c r="T92" s="21">
        <f t="shared" si="16"/>
        <v>59</v>
      </c>
      <c r="U92" s="21">
        <f>K92+P92</f>
        <v>40</v>
      </c>
      <c r="V92" s="21">
        <f t="shared" si="17"/>
        <v>-187</v>
      </c>
      <c r="W92" s="11">
        <f>I92+J92+K92</f>
        <v>239</v>
      </c>
      <c r="X92" s="11">
        <f>N92+O92+P92</f>
        <v>28</v>
      </c>
      <c r="Y92" s="12">
        <f t="shared" si="18"/>
        <v>267</v>
      </c>
      <c r="Z92" s="13">
        <f>I92+K92</f>
        <v>201</v>
      </c>
      <c r="AA92" s="13">
        <f>N92+P92</f>
        <v>7</v>
      </c>
      <c r="AB92" s="14">
        <f t="shared" si="19"/>
        <v>208</v>
      </c>
      <c r="AC92" s="35">
        <f>W92/F92</f>
        <v>0.7709677419354839</v>
      </c>
      <c r="AD92" s="35">
        <f>X92/G92</f>
        <v>0.53846153846153844</v>
      </c>
      <c r="AE92" s="15">
        <f>Y92/H92</f>
        <v>0.73756906077348061</v>
      </c>
      <c r="AF92" s="36">
        <f>Z92/F92</f>
        <v>0.64838709677419359</v>
      </c>
      <c r="AG92" s="36">
        <f>AA92/G92</f>
        <v>0.13461538461538461</v>
      </c>
      <c r="AH92" s="15">
        <f>AB92/H92</f>
        <v>0.574585635359116</v>
      </c>
    </row>
    <row r="93" spans="1:34" x14ac:dyDescent="0.35">
      <c r="A93" s="8">
        <v>90</v>
      </c>
      <c r="B93" s="1" t="s">
        <v>247</v>
      </c>
      <c r="C93" s="1" t="s">
        <v>248</v>
      </c>
      <c r="D93" s="1" t="s">
        <v>15</v>
      </c>
      <c r="E93" s="1" t="s">
        <v>48</v>
      </c>
      <c r="F93" s="9">
        <v>395</v>
      </c>
      <c r="G93" s="9">
        <v>47</v>
      </c>
      <c r="H93" s="10">
        <f t="shared" si="10"/>
        <v>442</v>
      </c>
      <c r="I93" s="17">
        <v>152</v>
      </c>
      <c r="J93" s="17">
        <v>61</v>
      </c>
      <c r="K93" s="17">
        <v>20</v>
      </c>
      <c r="L93" s="17">
        <f t="shared" si="11"/>
        <v>213</v>
      </c>
      <c r="M93" s="18">
        <f t="shared" si="12"/>
        <v>-41</v>
      </c>
      <c r="N93" s="19">
        <v>4</v>
      </c>
      <c r="O93" s="19">
        <v>14</v>
      </c>
      <c r="P93" s="19">
        <v>16</v>
      </c>
      <c r="Q93" s="19">
        <f t="shared" si="13"/>
        <v>18</v>
      </c>
      <c r="R93" s="20">
        <f t="shared" si="14"/>
        <v>2</v>
      </c>
      <c r="S93" s="21">
        <f t="shared" si="15"/>
        <v>231</v>
      </c>
      <c r="T93" s="21">
        <f t="shared" si="16"/>
        <v>75</v>
      </c>
      <c r="U93" s="21">
        <f>K93+P93</f>
        <v>36</v>
      </c>
      <c r="V93" s="21">
        <f t="shared" si="17"/>
        <v>-195</v>
      </c>
      <c r="W93" s="11">
        <f>I93+J93+K93</f>
        <v>233</v>
      </c>
      <c r="X93" s="11">
        <f>N93+O93+P93</f>
        <v>34</v>
      </c>
      <c r="Y93" s="12">
        <f t="shared" si="18"/>
        <v>267</v>
      </c>
      <c r="Z93" s="13">
        <f>I93+K93</f>
        <v>172</v>
      </c>
      <c r="AA93" s="13">
        <f>N93+P93</f>
        <v>20</v>
      </c>
      <c r="AB93" s="14">
        <f t="shared" si="19"/>
        <v>192</v>
      </c>
      <c r="AC93" s="35">
        <f>W93/F93</f>
        <v>0.58987341772151902</v>
      </c>
      <c r="AD93" s="35">
        <f>X93/G93</f>
        <v>0.72340425531914898</v>
      </c>
      <c r="AE93" s="15">
        <f>Y93/H93</f>
        <v>0.60407239819004521</v>
      </c>
      <c r="AF93" s="36">
        <f>Z93/F93</f>
        <v>0.43544303797468353</v>
      </c>
      <c r="AG93" s="36">
        <f>AA93/G93</f>
        <v>0.42553191489361702</v>
      </c>
      <c r="AH93" s="15">
        <f>AB93/H93</f>
        <v>0.43438914027149322</v>
      </c>
    </row>
    <row r="94" spans="1:34" x14ac:dyDescent="0.35">
      <c r="A94" s="8">
        <v>91</v>
      </c>
      <c r="B94" s="1" t="s">
        <v>249</v>
      </c>
      <c r="C94" s="1" t="s">
        <v>250</v>
      </c>
      <c r="D94" s="1" t="s">
        <v>15</v>
      </c>
      <c r="E94" s="1" t="s">
        <v>101</v>
      </c>
      <c r="F94" s="9">
        <v>431</v>
      </c>
      <c r="G94" s="9">
        <v>28</v>
      </c>
      <c r="H94" s="10">
        <f t="shared" si="10"/>
        <v>459</v>
      </c>
      <c r="I94" s="17">
        <v>117</v>
      </c>
      <c r="J94" s="17">
        <v>36</v>
      </c>
      <c r="K94" s="17">
        <v>23</v>
      </c>
      <c r="L94" s="17">
        <f t="shared" si="11"/>
        <v>153</v>
      </c>
      <c r="M94" s="18">
        <f t="shared" si="12"/>
        <v>-13</v>
      </c>
      <c r="N94" s="19">
        <v>7</v>
      </c>
      <c r="O94" s="19">
        <v>8</v>
      </c>
      <c r="P94" s="19">
        <v>9</v>
      </c>
      <c r="Q94" s="19">
        <f t="shared" si="13"/>
        <v>15</v>
      </c>
      <c r="R94" s="20">
        <f t="shared" si="14"/>
        <v>1</v>
      </c>
      <c r="S94" s="21">
        <f t="shared" si="15"/>
        <v>168</v>
      </c>
      <c r="T94" s="21">
        <f t="shared" si="16"/>
        <v>44</v>
      </c>
      <c r="U94" s="21">
        <f>K94+P94</f>
        <v>32</v>
      </c>
      <c r="V94" s="21">
        <f t="shared" si="17"/>
        <v>-136</v>
      </c>
      <c r="W94" s="11">
        <f>I94+J94+K94</f>
        <v>176</v>
      </c>
      <c r="X94" s="11">
        <f>N94+O94+P94</f>
        <v>24</v>
      </c>
      <c r="Y94" s="12">
        <f t="shared" si="18"/>
        <v>200</v>
      </c>
      <c r="Z94" s="13">
        <f>I94+K94</f>
        <v>140</v>
      </c>
      <c r="AA94" s="13">
        <f>N94+P94</f>
        <v>16</v>
      </c>
      <c r="AB94" s="14">
        <f t="shared" si="19"/>
        <v>156</v>
      </c>
      <c r="AC94" s="35">
        <f>W94/F94</f>
        <v>0.40835266821345706</v>
      </c>
      <c r="AD94" s="35">
        <f>X94/G94</f>
        <v>0.8571428571428571</v>
      </c>
      <c r="AE94" s="15">
        <f>Y94/H94</f>
        <v>0.4357298474945534</v>
      </c>
      <c r="AF94" s="36">
        <f>Z94/F94</f>
        <v>0.3248259860788863</v>
      </c>
      <c r="AG94" s="36">
        <f>AA94/G94</f>
        <v>0.5714285714285714</v>
      </c>
      <c r="AH94" s="15">
        <f>AB94/H94</f>
        <v>0.33986928104575165</v>
      </c>
    </row>
    <row r="95" spans="1:34" x14ac:dyDescent="0.35">
      <c r="A95" s="8">
        <v>92</v>
      </c>
      <c r="B95" s="1" t="s">
        <v>251</v>
      </c>
      <c r="C95" s="1" t="s">
        <v>252</v>
      </c>
      <c r="D95" s="1" t="s">
        <v>15</v>
      </c>
      <c r="E95" s="1" t="s">
        <v>34</v>
      </c>
      <c r="F95" s="9">
        <v>194</v>
      </c>
      <c r="G95" s="9">
        <v>151</v>
      </c>
      <c r="H95" s="10">
        <f t="shared" si="10"/>
        <v>345</v>
      </c>
      <c r="I95" s="17">
        <v>107</v>
      </c>
      <c r="J95" s="17">
        <v>12</v>
      </c>
      <c r="K95" s="17">
        <v>21</v>
      </c>
      <c r="L95" s="17">
        <f t="shared" si="11"/>
        <v>119</v>
      </c>
      <c r="M95" s="18">
        <f t="shared" si="12"/>
        <v>9</v>
      </c>
      <c r="N95" s="19">
        <v>8</v>
      </c>
      <c r="O95" s="19">
        <v>8</v>
      </c>
      <c r="P95" s="19">
        <v>11</v>
      </c>
      <c r="Q95" s="19">
        <f t="shared" si="13"/>
        <v>16</v>
      </c>
      <c r="R95" s="20">
        <f t="shared" si="14"/>
        <v>3</v>
      </c>
      <c r="S95" s="21">
        <f t="shared" si="15"/>
        <v>135</v>
      </c>
      <c r="T95" s="21">
        <f t="shared" si="16"/>
        <v>20</v>
      </c>
      <c r="U95" s="21">
        <f>K95+P95</f>
        <v>32</v>
      </c>
      <c r="V95" s="21">
        <f t="shared" si="17"/>
        <v>-103</v>
      </c>
      <c r="W95" s="11">
        <f>I95+J95+K95</f>
        <v>140</v>
      </c>
      <c r="X95" s="11">
        <f>N95+O95+P95</f>
        <v>27</v>
      </c>
      <c r="Y95" s="12">
        <f t="shared" si="18"/>
        <v>167</v>
      </c>
      <c r="Z95" s="13">
        <f>I95+K95</f>
        <v>128</v>
      </c>
      <c r="AA95" s="13">
        <f>N95+P95</f>
        <v>19</v>
      </c>
      <c r="AB95" s="14">
        <f t="shared" si="19"/>
        <v>147</v>
      </c>
      <c r="AC95" s="35">
        <f>W95/F95</f>
        <v>0.72164948453608246</v>
      </c>
      <c r="AD95" s="35">
        <f>X95/G95</f>
        <v>0.17880794701986755</v>
      </c>
      <c r="AE95" s="15">
        <f>Y95/H95</f>
        <v>0.48405797101449277</v>
      </c>
      <c r="AF95" s="36">
        <f>Z95/F95</f>
        <v>0.65979381443298968</v>
      </c>
      <c r="AG95" s="36">
        <f>AA95/G95</f>
        <v>0.12582781456953643</v>
      </c>
      <c r="AH95" s="15">
        <f>AB95/H95</f>
        <v>0.42608695652173911</v>
      </c>
    </row>
    <row r="96" spans="1:34" x14ac:dyDescent="0.35">
      <c r="A96" s="8">
        <v>93</v>
      </c>
      <c r="B96" s="1" t="s">
        <v>253</v>
      </c>
      <c r="C96" s="1" t="s">
        <v>254</v>
      </c>
      <c r="D96" s="1" t="s">
        <v>15</v>
      </c>
      <c r="E96" s="1" t="s">
        <v>37</v>
      </c>
      <c r="F96" s="9">
        <v>256</v>
      </c>
      <c r="G96" s="9">
        <v>44</v>
      </c>
      <c r="H96" s="10">
        <f t="shared" si="10"/>
        <v>300</v>
      </c>
      <c r="I96" s="17">
        <v>131</v>
      </c>
      <c r="J96" s="17">
        <v>81</v>
      </c>
      <c r="K96" s="17">
        <v>36</v>
      </c>
      <c r="L96" s="17">
        <f t="shared" si="11"/>
        <v>212</v>
      </c>
      <c r="M96" s="18">
        <f t="shared" si="12"/>
        <v>-45</v>
      </c>
      <c r="N96" s="19">
        <v>1</v>
      </c>
      <c r="O96" s="19">
        <v>31</v>
      </c>
      <c r="P96" s="19">
        <v>6</v>
      </c>
      <c r="Q96" s="19">
        <f t="shared" si="13"/>
        <v>32</v>
      </c>
      <c r="R96" s="20">
        <f t="shared" si="14"/>
        <v>-25</v>
      </c>
      <c r="S96" s="21">
        <f t="shared" si="15"/>
        <v>244</v>
      </c>
      <c r="T96" s="21">
        <f t="shared" si="16"/>
        <v>112</v>
      </c>
      <c r="U96" s="21">
        <f>K96+P96</f>
        <v>42</v>
      </c>
      <c r="V96" s="21">
        <f t="shared" si="17"/>
        <v>-202</v>
      </c>
      <c r="W96" s="11">
        <f>I96+J96+K96</f>
        <v>248</v>
      </c>
      <c r="X96" s="11">
        <f>N96+O96+P96</f>
        <v>38</v>
      </c>
      <c r="Y96" s="12">
        <f t="shared" si="18"/>
        <v>286</v>
      </c>
      <c r="Z96" s="13">
        <f>I96+K96</f>
        <v>167</v>
      </c>
      <c r="AA96" s="13">
        <f>N96+P96</f>
        <v>7</v>
      </c>
      <c r="AB96" s="14">
        <f t="shared" si="19"/>
        <v>174</v>
      </c>
      <c r="AC96" s="35">
        <f>W96/F96</f>
        <v>0.96875</v>
      </c>
      <c r="AD96" s="35">
        <f>X96/G96</f>
        <v>0.86363636363636365</v>
      </c>
      <c r="AE96" s="15">
        <f>Y96/H96</f>
        <v>0.95333333333333337</v>
      </c>
      <c r="AF96" s="36">
        <f>Z96/F96</f>
        <v>0.65234375</v>
      </c>
      <c r="AG96" s="36">
        <f>AA96/G96</f>
        <v>0.15909090909090909</v>
      </c>
      <c r="AH96" s="15">
        <f>AB96/H96</f>
        <v>0.57999999999999996</v>
      </c>
    </row>
    <row r="97" spans="1:34" x14ac:dyDescent="0.35">
      <c r="A97" s="8">
        <v>94</v>
      </c>
      <c r="B97" s="1" t="s">
        <v>255</v>
      </c>
      <c r="C97" s="1" t="s">
        <v>256</v>
      </c>
      <c r="D97" s="1" t="s">
        <v>15</v>
      </c>
      <c r="E97" s="1" t="s">
        <v>101</v>
      </c>
      <c r="F97" s="9">
        <v>396</v>
      </c>
      <c r="G97" s="9">
        <v>22</v>
      </c>
      <c r="H97" s="10">
        <f t="shared" si="10"/>
        <v>418</v>
      </c>
      <c r="I97" s="17">
        <v>164</v>
      </c>
      <c r="J97" s="17">
        <v>27</v>
      </c>
      <c r="K97" s="17">
        <v>13</v>
      </c>
      <c r="L97" s="17">
        <f t="shared" si="11"/>
        <v>191</v>
      </c>
      <c r="M97" s="18">
        <f t="shared" si="12"/>
        <v>-14</v>
      </c>
      <c r="N97" s="19">
        <v>2</v>
      </c>
      <c r="O97" s="19">
        <v>4</v>
      </c>
      <c r="P97" s="19">
        <v>2</v>
      </c>
      <c r="Q97" s="19">
        <f t="shared" si="13"/>
        <v>6</v>
      </c>
      <c r="R97" s="20">
        <f t="shared" si="14"/>
        <v>-2</v>
      </c>
      <c r="S97" s="21">
        <f t="shared" si="15"/>
        <v>197</v>
      </c>
      <c r="T97" s="21">
        <f t="shared" si="16"/>
        <v>31</v>
      </c>
      <c r="U97" s="21">
        <f>K97+P97</f>
        <v>15</v>
      </c>
      <c r="V97" s="21">
        <f t="shared" si="17"/>
        <v>-182</v>
      </c>
      <c r="W97" s="11">
        <f>I97+J97+K97</f>
        <v>204</v>
      </c>
      <c r="X97" s="11">
        <f>N97+O97+P97</f>
        <v>8</v>
      </c>
      <c r="Y97" s="12">
        <f t="shared" si="18"/>
        <v>212</v>
      </c>
      <c r="Z97" s="13">
        <f>I97+K97</f>
        <v>177</v>
      </c>
      <c r="AA97" s="13">
        <f>N97+P97</f>
        <v>4</v>
      </c>
      <c r="AB97" s="14">
        <f t="shared" si="19"/>
        <v>181</v>
      </c>
      <c r="AC97" s="35">
        <f>W97/F97</f>
        <v>0.51515151515151514</v>
      </c>
      <c r="AD97" s="35">
        <f>X97/G97</f>
        <v>0.36363636363636365</v>
      </c>
      <c r="AE97" s="15">
        <f>Y97/H97</f>
        <v>0.50717703349282295</v>
      </c>
      <c r="AF97" s="36">
        <f>Z97/F97</f>
        <v>0.44696969696969696</v>
      </c>
      <c r="AG97" s="36">
        <f>AA97/G97</f>
        <v>0.18181818181818182</v>
      </c>
      <c r="AH97" s="15">
        <f>AB97/H97</f>
        <v>0.43301435406698563</v>
      </c>
    </row>
    <row r="98" spans="1:34" x14ac:dyDescent="0.35">
      <c r="A98" s="8">
        <v>95</v>
      </c>
      <c r="B98" s="1" t="s">
        <v>257</v>
      </c>
      <c r="C98" s="1" t="s">
        <v>258</v>
      </c>
      <c r="D98" s="1" t="s">
        <v>15</v>
      </c>
      <c r="E98" s="1" t="s">
        <v>48</v>
      </c>
      <c r="F98" s="9">
        <v>367</v>
      </c>
      <c r="G98" s="9">
        <v>43</v>
      </c>
      <c r="H98" s="10">
        <f t="shared" si="10"/>
        <v>410</v>
      </c>
      <c r="I98" s="17">
        <v>175</v>
      </c>
      <c r="J98" s="17">
        <v>50</v>
      </c>
      <c r="K98" s="17">
        <v>43</v>
      </c>
      <c r="L98" s="17">
        <f t="shared" si="11"/>
        <v>225</v>
      </c>
      <c r="M98" s="18">
        <f t="shared" si="12"/>
        <v>-7</v>
      </c>
      <c r="N98" s="19">
        <v>1</v>
      </c>
      <c r="O98" s="19">
        <v>8</v>
      </c>
      <c r="P98" s="19">
        <v>6</v>
      </c>
      <c r="Q98" s="19">
        <f t="shared" si="13"/>
        <v>9</v>
      </c>
      <c r="R98" s="20">
        <f t="shared" si="14"/>
        <v>-2</v>
      </c>
      <c r="S98" s="21">
        <f t="shared" si="15"/>
        <v>234</v>
      </c>
      <c r="T98" s="21">
        <f t="shared" si="16"/>
        <v>58</v>
      </c>
      <c r="U98" s="21">
        <f>K98+P98</f>
        <v>49</v>
      </c>
      <c r="V98" s="21">
        <f t="shared" si="17"/>
        <v>-185</v>
      </c>
      <c r="W98" s="11">
        <f>I98+J98+K98</f>
        <v>268</v>
      </c>
      <c r="X98" s="11">
        <f>N98+O98+P98</f>
        <v>15</v>
      </c>
      <c r="Y98" s="12">
        <f t="shared" si="18"/>
        <v>283</v>
      </c>
      <c r="Z98" s="13">
        <f>I98+K98</f>
        <v>218</v>
      </c>
      <c r="AA98" s="13">
        <f>N98+P98</f>
        <v>7</v>
      </c>
      <c r="AB98" s="14">
        <f t="shared" si="19"/>
        <v>225</v>
      </c>
      <c r="AC98" s="35">
        <f>W98/F98</f>
        <v>0.73024523160762944</v>
      </c>
      <c r="AD98" s="35">
        <f>X98/G98</f>
        <v>0.34883720930232559</v>
      </c>
      <c r="AE98" s="15">
        <f>Y98/H98</f>
        <v>0.69024390243902434</v>
      </c>
      <c r="AF98" s="36">
        <f>Z98/F98</f>
        <v>0.59400544959128065</v>
      </c>
      <c r="AG98" s="36">
        <f>AA98/G98</f>
        <v>0.16279069767441862</v>
      </c>
      <c r="AH98" s="15">
        <f>AB98/H98</f>
        <v>0.54878048780487809</v>
      </c>
    </row>
    <row r="99" spans="1:34" x14ac:dyDescent="0.35">
      <c r="A99" s="8">
        <v>96</v>
      </c>
      <c r="B99" s="1" t="s">
        <v>259</v>
      </c>
      <c r="C99" s="1" t="s">
        <v>260</v>
      </c>
      <c r="D99" s="1" t="s">
        <v>15</v>
      </c>
      <c r="E99" s="1" t="s">
        <v>51</v>
      </c>
      <c r="F99" s="9">
        <v>328</v>
      </c>
      <c r="G99" s="9">
        <v>34</v>
      </c>
      <c r="H99" s="10">
        <f t="shared" si="10"/>
        <v>362</v>
      </c>
      <c r="I99" s="17">
        <v>124</v>
      </c>
      <c r="J99" s="17">
        <v>48</v>
      </c>
      <c r="K99" s="17">
        <v>46</v>
      </c>
      <c r="L99" s="17">
        <f t="shared" si="11"/>
        <v>172</v>
      </c>
      <c r="M99" s="18">
        <f t="shared" si="12"/>
        <v>-2</v>
      </c>
      <c r="N99" s="19">
        <v>7</v>
      </c>
      <c r="O99" s="19">
        <v>5</v>
      </c>
      <c r="P99" s="19">
        <v>13</v>
      </c>
      <c r="Q99" s="19">
        <f t="shared" si="13"/>
        <v>12</v>
      </c>
      <c r="R99" s="20">
        <f t="shared" si="14"/>
        <v>8</v>
      </c>
      <c r="S99" s="21">
        <f t="shared" si="15"/>
        <v>184</v>
      </c>
      <c r="T99" s="21">
        <f t="shared" si="16"/>
        <v>53</v>
      </c>
      <c r="U99" s="21">
        <f>K99+P99</f>
        <v>59</v>
      </c>
      <c r="V99" s="21">
        <f t="shared" si="17"/>
        <v>-125</v>
      </c>
      <c r="W99" s="11">
        <f>I99+J99+K99</f>
        <v>218</v>
      </c>
      <c r="X99" s="11">
        <f>N99+O99+P99</f>
        <v>25</v>
      </c>
      <c r="Y99" s="12">
        <f t="shared" si="18"/>
        <v>243</v>
      </c>
      <c r="Z99" s="13">
        <f>I99+K99</f>
        <v>170</v>
      </c>
      <c r="AA99" s="13">
        <f>N99+P99</f>
        <v>20</v>
      </c>
      <c r="AB99" s="14">
        <f t="shared" si="19"/>
        <v>190</v>
      </c>
      <c r="AC99" s="35">
        <f>W99/F99</f>
        <v>0.66463414634146345</v>
      </c>
      <c r="AD99" s="35">
        <f>X99/G99</f>
        <v>0.73529411764705888</v>
      </c>
      <c r="AE99" s="15">
        <f>Y99/H99</f>
        <v>0.67127071823204421</v>
      </c>
      <c r="AF99" s="36">
        <f>Z99/F99</f>
        <v>0.51829268292682928</v>
      </c>
      <c r="AG99" s="36">
        <f>AA99/G99</f>
        <v>0.58823529411764708</v>
      </c>
      <c r="AH99" s="15">
        <f>AB99/H99</f>
        <v>0.52486187845303867</v>
      </c>
    </row>
    <row r="100" spans="1:34" x14ac:dyDescent="0.35">
      <c r="A100" s="8">
        <v>97</v>
      </c>
      <c r="B100" s="1" t="s">
        <v>261</v>
      </c>
      <c r="C100" s="1" t="s">
        <v>262</v>
      </c>
      <c r="D100" s="1" t="s">
        <v>15</v>
      </c>
      <c r="E100" s="1" t="s">
        <v>37</v>
      </c>
      <c r="F100" s="9">
        <v>317</v>
      </c>
      <c r="G100" s="9">
        <v>14</v>
      </c>
      <c r="H100" s="10">
        <f t="shared" si="10"/>
        <v>331</v>
      </c>
      <c r="I100" s="17">
        <v>140</v>
      </c>
      <c r="J100" s="17">
        <v>35</v>
      </c>
      <c r="K100" s="17">
        <v>26</v>
      </c>
      <c r="L100" s="17">
        <f t="shared" si="11"/>
        <v>175</v>
      </c>
      <c r="M100" s="18">
        <f t="shared" si="12"/>
        <v>-9</v>
      </c>
      <c r="N100" s="19">
        <v>2</v>
      </c>
      <c r="O100" s="19">
        <v>4</v>
      </c>
      <c r="P100" s="19">
        <v>9</v>
      </c>
      <c r="Q100" s="19">
        <f t="shared" si="13"/>
        <v>6</v>
      </c>
      <c r="R100" s="20">
        <f t="shared" si="14"/>
        <v>5</v>
      </c>
      <c r="S100" s="21">
        <f t="shared" si="15"/>
        <v>181</v>
      </c>
      <c r="T100" s="21">
        <f t="shared" si="16"/>
        <v>39</v>
      </c>
      <c r="U100" s="21">
        <f>K100+P100</f>
        <v>35</v>
      </c>
      <c r="V100" s="21">
        <f t="shared" si="17"/>
        <v>-146</v>
      </c>
      <c r="W100" s="11">
        <f>I100+J100+K100</f>
        <v>201</v>
      </c>
      <c r="X100" s="11">
        <f>N100+O100+P100</f>
        <v>15</v>
      </c>
      <c r="Y100" s="12">
        <f t="shared" si="18"/>
        <v>216</v>
      </c>
      <c r="Z100" s="13">
        <f>I100+K100</f>
        <v>166</v>
      </c>
      <c r="AA100" s="13">
        <f>N100+P100</f>
        <v>11</v>
      </c>
      <c r="AB100" s="14">
        <f t="shared" si="19"/>
        <v>177</v>
      </c>
      <c r="AC100" s="35">
        <f>W100/F100</f>
        <v>0.63406940063091488</v>
      </c>
      <c r="AD100" s="35">
        <f>X100/G100</f>
        <v>1.0714285714285714</v>
      </c>
      <c r="AE100" s="15">
        <f>Y100/H100</f>
        <v>0.65256797583081572</v>
      </c>
      <c r="AF100" s="36">
        <f>Z100/F100</f>
        <v>0.52365930599369082</v>
      </c>
      <c r="AG100" s="36">
        <f>AA100/G100</f>
        <v>0.7857142857142857</v>
      </c>
      <c r="AH100" s="15">
        <f>AB100/H100</f>
        <v>0.53474320241691842</v>
      </c>
    </row>
    <row r="101" spans="1:34" x14ac:dyDescent="0.35">
      <c r="A101" s="8">
        <v>98</v>
      </c>
      <c r="B101" s="1" t="s">
        <v>263</v>
      </c>
      <c r="C101" s="1" t="s">
        <v>264</v>
      </c>
      <c r="D101" s="1" t="s">
        <v>15</v>
      </c>
      <c r="E101" s="1" t="s">
        <v>37</v>
      </c>
      <c r="F101" s="9">
        <v>371</v>
      </c>
      <c r="G101" s="9">
        <v>20</v>
      </c>
      <c r="H101" s="10">
        <f t="shared" si="10"/>
        <v>391</v>
      </c>
      <c r="I101" s="17">
        <v>197</v>
      </c>
      <c r="J101" s="17">
        <v>48</v>
      </c>
      <c r="K101" s="17">
        <v>33</v>
      </c>
      <c r="L101" s="17">
        <f t="shared" si="11"/>
        <v>245</v>
      </c>
      <c r="M101" s="18">
        <f t="shared" si="12"/>
        <v>-15</v>
      </c>
      <c r="N101" s="19">
        <v>1</v>
      </c>
      <c r="O101" s="19">
        <v>10</v>
      </c>
      <c r="P101" s="19">
        <v>4</v>
      </c>
      <c r="Q101" s="19">
        <f t="shared" si="13"/>
        <v>11</v>
      </c>
      <c r="R101" s="20">
        <f t="shared" si="14"/>
        <v>-6</v>
      </c>
      <c r="S101" s="21">
        <f t="shared" si="15"/>
        <v>256</v>
      </c>
      <c r="T101" s="21">
        <f t="shared" si="16"/>
        <v>58</v>
      </c>
      <c r="U101" s="21">
        <f>K101+P101</f>
        <v>37</v>
      </c>
      <c r="V101" s="21">
        <f t="shared" si="17"/>
        <v>-219</v>
      </c>
      <c r="W101" s="11">
        <f>I101+J101+K101</f>
        <v>278</v>
      </c>
      <c r="X101" s="11">
        <f>N101+O101+P101</f>
        <v>15</v>
      </c>
      <c r="Y101" s="12">
        <f t="shared" si="18"/>
        <v>293</v>
      </c>
      <c r="Z101" s="13">
        <f>I101+K101</f>
        <v>230</v>
      </c>
      <c r="AA101" s="13">
        <f>N101+P101</f>
        <v>5</v>
      </c>
      <c r="AB101" s="14">
        <f t="shared" si="19"/>
        <v>235</v>
      </c>
      <c r="AC101" s="35">
        <f>W101/F101</f>
        <v>0.74932614555256061</v>
      </c>
      <c r="AD101" s="35">
        <f>X101/G101</f>
        <v>0.75</v>
      </c>
      <c r="AE101" s="15">
        <f>Y101/H101</f>
        <v>0.7493606138107417</v>
      </c>
      <c r="AF101" s="36">
        <f>Z101/F101</f>
        <v>0.61994609164420489</v>
      </c>
      <c r="AG101" s="36">
        <f>AA101/G101</f>
        <v>0.25</v>
      </c>
      <c r="AH101" s="15">
        <f>AB101/H101</f>
        <v>0.60102301790281332</v>
      </c>
    </row>
    <row r="102" spans="1:34" x14ac:dyDescent="0.35">
      <c r="A102" s="8">
        <v>99</v>
      </c>
      <c r="B102" s="1" t="s">
        <v>265</v>
      </c>
      <c r="C102" s="1" t="s">
        <v>266</v>
      </c>
      <c r="D102" s="1" t="s">
        <v>15</v>
      </c>
      <c r="E102" s="1" t="s">
        <v>21</v>
      </c>
      <c r="F102" s="9">
        <v>315</v>
      </c>
      <c r="G102" s="9">
        <v>4</v>
      </c>
      <c r="H102" s="10">
        <f t="shared" si="10"/>
        <v>319</v>
      </c>
      <c r="I102" s="17">
        <v>164</v>
      </c>
      <c r="J102" s="17">
        <v>9</v>
      </c>
      <c r="K102" s="17">
        <v>20</v>
      </c>
      <c r="L102" s="17">
        <f t="shared" si="11"/>
        <v>173</v>
      </c>
      <c r="M102" s="18">
        <f t="shared" si="12"/>
        <v>11</v>
      </c>
      <c r="N102" s="19">
        <v>0</v>
      </c>
      <c r="O102" s="19">
        <v>0</v>
      </c>
      <c r="P102" s="19">
        <v>0</v>
      </c>
      <c r="Q102" s="19">
        <f t="shared" si="13"/>
        <v>0</v>
      </c>
      <c r="R102" s="20">
        <f t="shared" si="14"/>
        <v>0</v>
      </c>
      <c r="S102" s="21">
        <f t="shared" si="15"/>
        <v>173</v>
      </c>
      <c r="T102" s="21">
        <f t="shared" si="16"/>
        <v>9</v>
      </c>
      <c r="U102" s="21">
        <f>K102+P102</f>
        <v>20</v>
      </c>
      <c r="V102" s="21">
        <f t="shared" si="17"/>
        <v>-153</v>
      </c>
      <c r="W102" s="11">
        <f>I102+J102+K102</f>
        <v>193</v>
      </c>
      <c r="X102" s="11">
        <f>N102+O102+P102</f>
        <v>0</v>
      </c>
      <c r="Y102" s="12">
        <f t="shared" si="18"/>
        <v>193</v>
      </c>
      <c r="Z102" s="13">
        <f>I102+K102</f>
        <v>184</v>
      </c>
      <c r="AA102" s="13">
        <f>N102+P102</f>
        <v>0</v>
      </c>
      <c r="AB102" s="14">
        <f t="shared" si="19"/>
        <v>184</v>
      </c>
      <c r="AC102" s="35">
        <f>W102/F102</f>
        <v>0.61269841269841274</v>
      </c>
      <c r="AD102" s="35">
        <f>X102/G102</f>
        <v>0</v>
      </c>
      <c r="AE102" s="15">
        <f>Y102/H102</f>
        <v>0.60501567398119127</v>
      </c>
      <c r="AF102" s="36">
        <f>Z102/F102</f>
        <v>0.58412698412698416</v>
      </c>
      <c r="AG102" s="36">
        <f>AA102/G102</f>
        <v>0</v>
      </c>
      <c r="AH102" s="15">
        <f>AB102/H102</f>
        <v>0.57680250783699061</v>
      </c>
    </row>
    <row r="103" spans="1:34" x14ac:dyDescent="0.35">
      <c r="A103" s="8">
        <v>100</v>
      </c>
      <c r="B103" s="1" t="s">
        <v>267</v>
      </c>
      <c r="C103" s="1" t="s">
        <v>268</v>
      </c>
      <c r="D103" s="1" t="s">
        <v>15</v>
      </c>
      <c r="E103" s="1" t="s">
        <v>37</v>
      </c>
      <c r="F103" s="9">
        <v>154</v>
      </c>
      <c r="G103" s="9">
        <v>136</v>
      </c>
      <c r="H103" s="10">
        <f t="shared" si="10"/>
        <v>290</v>
      </c>
      <c r="I103" s="17">
        <v>101</v>
      </c>
      <c r="J103" s="17">
        <v>18</v>
      </c>
      <c r="K103" s="17">
        <v>17</v>
      </c>
      <c r="L103" s="17">
        <f t="shared" si="11"/>
        <v>119</v>
      </c>
      <c r="M103" s="18">
        <f t="shared" si="12"/>
        <v>-1</v>
      </c>
      <c r="N103" s="19">
        <v>28</v>
      </c>
      <c r="O103" s="19">
        <v>48</v>
      </c>
      <c r="P103" s="19">
        <v>51</v>
      </c>
      <c r="Q103" s="19">
        <f t="shared" si="13"/>
        <v>76</v>
      </c>
      <c r="R103" s="20">
        <f t="shared" si="14"/>
        <v>3</v>
      </c>
      <c r="S103" s="21">
        <f t="shared" si="15"/>
        <v>195</v>
      </c>
      <c r="T103" s="21">
        <f t="shared" si="16"/>
        <v>66</v>
      </c>
      <c r="U103" s="21">
        <f>K103+P103</f>
        <v>68</v>
      </c>
      <c r="V103" s="21">
        <f t="shared" si="17"/>
        <v>-127</v>
      </c>
      <c r="W103" s="11">
        <f>I103+J103+K103</f>
        <v>136</v>
      </c>
      <c r="X103" s="11">
        <f>N103+O103+P103</f>
        <v>127</v>
      </c>
      <c r="Y103" s="12">
        <f t="shared" si="18"/>
        <v>263</v>
      </c>
      <c r="Z103" s="13">
        <f>I103+K103</f>
        <v>118</v>
      </c>
      <c r="AA103" s="13">
        <f>N103+P103</f>
        <v>79</v>
      </c>
      <c r="AB103" s="14">
        <f t="shared" si="19"/>
        <v>197</v>
      </c>
      <c r="AC103" s="35">
        <f>W103/F103</f>
        <v>0.88311688311688308</v>
      </c>
      <c r="AD103" s="35">
        <f>X103/G103</f>
        <v>0.93382352941176472</v>
      </c>
      <c r="AE103" s="15">
        <f>Y103/H103</f>
        <v>0.90689655172413797</v>
      </c>
      <c r="AF103" s="36">
        <f>Z103/F103</f>
        <v>0.76623376623376627</v>
      </c>
      <c r="AG103" s="36">
        <f>AA103/G103</f>
        <v>0.58088235294117652</v>
      </c>
      <c r="AH103" s="15">
        <f>AB103/H103</f>
        <v>0.67931034482758623</v>
      </c>
    </row>
    <row r="104" spans="1:34" x14ac:dyDescent="0.35">
      <c r="A104" s="8">
        <v>101</v>
      </c>
      <c r="B104" s="1" t="s">
        <v>269</v>
      </c>
      <c r="C104" s="1" t="s">
        <v>270</v>
      </c>
      <c r="D104" s="1" t="s">
        <v>15</v>
      </c>
      <c r="E104" s="1" t="s">
        <v>88</v>
      </c>
      <c r="F104" s="9">
        <v>252</v>
      </c>
      <c r="G104" s="9">
        <v>33</v>
      </c>
      <c r="H104" s="10">
        <f t="shared" si="10"/>
        <v>285</v>
      </c>
      <c r="I104" s="17">
        <v>74</v>
      </c>
      <c r="J104" s="17">
        <v>17</v>
      </c>
      <c r="K104" s="17">
        <v>33</v>
      </c>
      <c r="L104" s="17">
        <f t="shared" si="11"/>
        <v>91</v>
      </c>
      <c r="M104" s="18">
        <f t="shared" si="12"/>
        <v>16</v>
      </c>
      <c r="N104" s="19">
        <v>1</v>
      </c>
      <c r="O104" s="19">
        <v>11</v>
      </c>
      <c r="P104" s="19">
        <v>1</v>
      </c>
      <c r="Q104" s="19">
        <f t="shared" si="13"/>
        <v>12</v>
      </c>
      <c r="R104" s="20">
        <f t="shared" si="14"/>
        <v>-10</v>
      </c>
      <c r="S104" s="21">
        <f t="shared" si="15"/>
        <v>103</v>
      </c>
      <c r="T104" s="21">
        <f t="shared" si="16"/>
        <v>28</v>
      </c>
      <c r="U104" s="21">
        <f>K104+P104</f>
        <v>34</v>
      </c>
      <c r="V104" s="21">
        <f t="shared" si="17"/>
        <v>-69</v>
      </c>
      <c r="W104" s="11">
        <f>I104+J104+K104</f>
        <v>124</v>
      </c>
      <c r="X104" s="11">
        <f>N104+O104+P104</f>
        <v>13</v>
      </c>
      <c r="Y104" s="12">
        <f t="shared" si="18"/>
        <v>137</v>
      </c>
      <c r="Z104" s="13">
        <f>I104+K104</f>
        <v>107</v>
      </c>
      <c r="AA104" s="13">
        <f>N104+P104</f>
        <v>2</v>
      </c>
      <c r="AB104" s="14">
        <f t="shared" si="19"/>
        <v>109</v>
      </c>
      <c r="AC104" s="35">
        <f>W104/F104</f>
        <v>0.49206349206349204</v>
      </c>
      <c r="AD104" s="35">
        <f>X104/G104</f>
        <v>0.39393939393939392</v>
      </c>
      <c r="AE104" s="15">
        <f>Y104/H104</f>
        <v>0.48070175438596491</v>
      </c>
      <c r="AF104" s="36">
        <f>Z104/F104</f>
        <v>0.42460317460317459</v>
      </c>
      <c r="AG104" s="36">
        <f>AA104/G104</f>
        <v>6.0606060606060608E-2</v>
      </c>
      <c r="AH104" s="15">
        <f>AB104/H104</f>
        <v>0.38245614035087722</v>
      </c>
    </row>
    <row r="105" spans="1:34" x14ac:dyDescent="0.35">
      <c r="A105" s="8">
        <v>102</v>
      </c>
      <c r="B105" s="1" t="s">
        <v>271</v>
      </c>
      <c r="C105" s="1" t="s">
        <v>272</v>
      </c>
      <c r="D105" s="1" t="s">
        <v>15</v>
      </c>
      <c r="E105" s="1" t="s">
        <v>16</v>
      </c>
      <c r="F105" s="9">
        <v>356</v>
      </c>
      <c r="G105" s="9">
        <v>43</v>
      </c>
      <c r="H105" s="10">
        <f t="shared" si="10"/>
        <v>399</v>
      </c>
      <c r="I105" s="17">
        <v>103</v>
      </c>
      <c r="J105" s="17">
        <v>74</v>
      </c>
      <c r="K105" s="17">
        <v>16</v>
      </c>
      <c r="L105" s="17">
        <f t="shared" si="11"/>
        <v>177</v>
      </c>
      <c r="M105" s="18">
        <f t="shared" si="12"/>
        <v>-58</v>
      </c>
      <c r="N105" s="19">
        <v>0</v>
      </c>
      <c r="O105" s="19">
        <v>10</v>
      </c>
      <c r="P105" s="19">
        <v>5</v>
      </c>
      <c r="Q105" s="19">
        <f t="shared" si="13"/>
        <v>10</v>
      </c>
      <c r="R105" s="20">
        <f t="shared" si="14"/>
        <v>-5</v>
      </c>
      <c r="S105" s="21">
        <f t="shared" si="15"/>
        <v>187</v>
      </c>
      <c r="T105" s="21">
        <f t="shared" si="16"/>
        <v>84</v>
      </c>
      <c r="U105" s="21">
        <f>K105+P105</f>
        <v>21</v>
      </c>
      <c r="V105" s="21">
        <f t="shared" si="17"/>
        <v>-166</v>
      </c>
      <c r="W105" s="11">
        <f>I105+J105+K105</f>
        <v>193</v>
      </c>
      <c r="X105" s="11">
        <f>N105+O105+P105</f>
        <v>15</v>
      </c>
      <c r="Y105" s="12">
        <f t="shared" si="18"/>
        <v>208</v>
      </c>
      <c r="Z105" s="13">
        <f>I105+K105</f>
        <v>119</v>
      </c>
      <c r="AA105" s="13">
        <f>N105+P105</f>
        <v>5</v>
      </c>
      <c r="AB105" s="14">
        <f t="shared" si="19"/>
        <v>124</v>
      </c>
      <c r="AC105" s="35">
        <f>W105/F105</f>
        <v>0.5421348314606742</v>
      </c>
      <c r="AD105" s="35">
        <f>X105/G105</f>
        <v>0.34883720930232559</v>
      </c>
      <c r="AE105" s="15">
        <f>Y105/H105</f>
        <v>0.52130325814536338</v>
      </c>
      <c r="AF105" s="36">
        <f>Z105/F105</f>
        <v>0.3342696629213483</v>
      </c>
      <c r="AG105" s="36">
        <f>AA105/G105</f>
        <v>0.11627906976744186</v>
      </c>
      <c r="AH105" s="15">
        <f>AB105/H105</f>
        <v>0.31077694235588971</v>
      </c>
    </row>
    <row r="106" spans="1:34" x14ac:dyDescent="0.35">
      <c r="A106" s="8">
        <v>103</v>
      </c>
      <c r="B106" s="1" t="s">
        <v>273</v>
      </c>
      <c r="C106" s="1" t="s">
        <v>274</v>
      </c>
      <c r="D106" s="1" t="s">
        <v>15</v>
      </c>
      <c r="E106" s="1" t="s">
        <v>48</v>
      </c>
      <c r="F106" s="9">
        <v>400</v>
      </c>
      <c r="G106" s="9">
        <v>42</v>
      </c>
      <c r="H106" s="10">
        <f t="shared" si="10"/>
        <v>442</v>
      </c>
      <c r="I106" s="17">
        <v>182</v>
      </c>
      <c r="J106" s="17">
        <v>62</v>
      </c>
      <c r="K106" s="17">
        <v>24</v>
      </c>
      <c r="L106" s="17">
        <f t="shared" si="11"/>
        <v>244</v>
      </c>
      <c r="M106" s="18">
        <f t="shared" si="12"/>
        <v>-38</v>
      </c>
      <c r="N106" s="19">
        <v>9</v>
      </c>
      <c r="O106" s="19">
        <v>6</v>
      </c>
      <c r="P106" s="19">
        <v>10</v>
      </c>
      <c r="Q106" s="19">
        <f t="shared" si="13"/>
        <v>15</v>
      </c>
      <c r="R106" s="20">
        <f t="shared" si="14"/>
        <v>4</v>
      </c>
      <c r="S106" s="21">
        <f t="shared" si="15"/>
        <v>259</v>
      </c>
      <c r="T106" s="21">
        <f t="shared" si="16"/>
        <v>68</v>
      </c>
      <c r="U106" s="21">
        <f>K106+P106</f>
        <v>34</v>
      </c>
      <c r="V106" s="21">
        <f t="shared" si="17"/>
        <v>-225</v>
      </c>
      <c r="W106" s="11">
        <f>I106+J106+K106</f>
        <v>268</v>
      </c>
      <c r="X106" s="11">
        <f>N106+O106+P106</f>
        <v>25</v>
      </c>
      <c r="Y106" s="12">
        <f t="shared" si="18"/>
        <v>293</v>
      </c>
      <c r="Z106" s="13">
        <f>I106+K106</f>
        <v>206</v>
      </c>
      <c r="AA106" s="13">
        <f>N106+P106</f>
        <v>19</v>
      </c>
      <c r="AB106" s="14">
        <f t="shared" si="19"/>
        <v>225</v>
      </c>
      <c r="AC106" s="35">
        <f>W106/F106</f>
        <v>0.67</v>
      </c>
      <c r="AD106" s="35">
        <f>X106/G106</f>
        <v>0.59523809523809523</v>
      </c>
      <c r="AE106" s="15">
        <f>Y106/H106</f>
        <v>0.66289592760180993</v>
      </c>
      <c r="AF106" s="36">
        <f>Z106/F106</f>
        <v>0.51500000000000001</v>
      </c>
      <c r="AG106" s="36">
        <f>AA106/G106</f>
        <v>0.45238095238095238</v>
      </c>
      <c r="AH106" s="15">
        <f>AB106/H106</f>
        <v>0.50904977375565608</v>
      </c>
    </row>
    <row r="107" spans="1:34" x14ac:dyDescent="0.35">
      <c r="A107" s="8">
        <v>104</v>
      </c>
      <c r="B107" s="1" t="s">
        <v>275</v>
      </c>
      <c r="C107" s="1" t="s">
        <v>276</v>
      </c>
      <c r="D107" s="1" t="s">
        <v>15</v>
      </c>
      <c r="E107" s="1" t="s">
        <v>51</v>
      </c>
      <c r="F107" s="9">
        <v>206</v>
      </c>
      <c r="G107" s="9">
        <v>160</v>
      </c>
      <c r="H107" s="10">
        <f t="shared" si="10"/>
        <v>366</v>
      </c>
      <c r="I107" s="17">
        <v>163</v>
      </c>
      <c r="J107" s="17">
        <v>18</v>
      </c>
      <c r="K107" s="17">
        <v>29</v>
      </c>
      <c r="L107" s="17">
        <f t="shared" si="11"/>
        <v>181</v>
      </c>
      <c r="M107" s="18">
        <f t="shared" si="12"/>
        <v>11</v>
      </c>
      <c r="N107" s="19">
        <v>12</v>
      </c>
      <c r="O107" s="19">
        <v>15</v>
      </c>
      <c r="P107" s="19">
        <v>39</v>
      </c>
      <c r="Q107" s="19">
        <f t="shared" si="13"/>
        <v>27</v>
      </c>
      <c r="R107" s="20">
        <f t="shared" si="14"/>
        <v>24</v>
      </c>
      <c r="S107" s="21">
        <f t="shared" si="15"/>
        <v>208</v>
      </c>
      <c r="T107" s="21">
        <f t="shared" si="16"/>
        <v>33</v>
      </c>
      <c r="U107" s="21">
        <f>K107+P107</f>
        <v>68</v>
      </c>
      <c r="V107" s="21">
        <f t="shared" si="17"/>
        <v>-140</v>
      </c>
      <c r="W107" s="11">
        <f>I107+J107+K107</f>
        <v>210</v>
      </c>
      <c r="X107" s="11">
        <f>N107+O107+P107</f>
        <v>66</v>
      </c>
      <c r="Y107" s="12">
        <f t="shared" si="18"/>
        <v>276</v>
      </c>
      <c r="Z107" s="13">
        <f>I107+K107</f>
        <v>192</v>
      </c>
      <c r="AA107" s="13">
        <f>N107+P107</f>
        <v>51</v>
      </c>
      <c r="AB107" s="14">
        <f t="shared" si="19"/>
        <v>243</v>
      </c>
      <c r="AC107" s="35">
        <f>W107/F107</f>
        <v>1.0194174757281553</v>
      </c>
      <c r="AD107" s="35">
        <f>X107/G107</f>
        <v>0.41249999999999998</v>
      </c>
      <c r="AE107" s="15">
        <f>Y107/H107</f>
        <v>0.75409836065573765</v>
      </c>
      <c r="AF107" s="36">
        <f>Z107/F107</f>
        <v>0.93203883495145634</v>
      </c>
      <c r="AG107" s="36">
        <f>AA107/G107</f>
        <v>0.31874999999999998</v>
      </c>
      <c r="AH107" s="15">
        <f>AB107/H107</f>
        <v>0.66393442622950816</v>
      </c>
    </row>
    <row r="108" spans="1:34" x14ac:dyDescent="0.35">
      <c r="A108" s="8">
        <v>105</v>
      </c>
      <c r="B108" s="1" t="s">
        <v>277</v>
      </c>
      <c r="C108" s="1" t="s">
        <v>278</v>
      </c>
      <c r="D108" s="1" t="s">
        <v>15</v>
      </c>
      <c r="E108" s="1" t="s">
        <v>58</v>
      </c>
      <c r="F108" s="9">
        <v>303</v>
      </c>
      <c r="G108" s="9">
        <v>124</v>
      </c>
      <c r="H108" s="10">
        <f t="shared" si="10"/>
        <v>427</v>
      </c>
      <c r="I108" s="17">
        <v>200</v>
      </c>
      <c r="J108" s="17">
        <v>29</v>
      </c>
      <c r="K108" s="17">
        <v>78</v>
      </c>
      <c r="L108" s="17">
        <f t="shared" si="11"/>
        <v>229</v>
      </c>
      <c r="M108" s="18">
        <f t="shared" si="12"/>
        <v>49</v>
      </c>
      <c r="N108" s="19">
        <v>3</v>
      </c>
      <c r="O108" s="19">
        <v>12</v>
      </c>
      <c r="P108" s="19">
        <v>6</v>
      </c>
      <c r="Q108" s="19">
        <f t="shared" si="13"/>
        <v>15</v>
      </c>
      <c r="R108" s="20">
        <f t="shared" si="14"/>
        <v>-6</v>
      </c>
      <c r="S108" s="21">
        <f t="shared" si="15"/>
        <v>244</v>
      </c>
      <c r="T108" s="21">
        <f t="shared" si="16"/>
        <v>41</v>
      </c>
      <c r="U108" s="21">
        <f>K108+P108</f>
        <v>84</v>
      </c>
      <c r="V108" s="21">
        <f t="shared" si="17"/>
        <v>-160</v>
      </c>
      <c r="W108" s="11">
        <f>I108+J108+K108</f>
        <v>307</v>
      </c>
      <c r="X108" s="11">
        <f>N108+O108+P108</f>
        <v>21</v>
      </c>
      <c r="Y108" s="12">
        <f t="shared" si="18"/>
        <v>328</v>
      </c>
      <c r="Z108" s="13">
        <f>I108+K108</f>
        <v>278</v>
      </c>
      <c r="AA108" s="13">
        <f>N108+P108</f>
        <v>9</v>
      </c>
      <c r="AB108" s="14">
        <f t="shared" si="19"/>
        <v>287</v>
      </c>
      <c r="AC108" s="35">
        <f>W108/F108</f>
        <v>1.0132013201320131</v>
      </c>
      <c r="AD108" s="35">
        <f>X108/G108</f>
        <v>0.16935483870967741</v>
      </c>
      <c r="AE108" s="15">
        <f>Y108/H108</f>
        <v>0.76814988290398123</v>
      </c>
      <c r="AF108" s="36">
        <f>Z108/F108</f>
        <v>0.91749174917491749</v>
      </c>
      <c r="AG108" s="36">
        <f>AA108/G108</f>
        <v>7.2580645161290328E-2</v>
      </c>
      <c r="AH108" s="15">
        <f>AB108/H108</f>
        <v>0.67213114754098358</v>
      </c>
    </row>
    <row r="109" spans="1:34" x14ac:dyDescent="0.35">
      <c r="A109" s="8">
        <v>106</v>
      </c>
      <c r="B109" s="1" t="s">
        <v>281</v>
      </c>
      <c r="C109" s="1" t="s">
        <v>282</v>
      </c>
      <c r="D109" s="1" t="s">
        <v>15</v>
      </c>
      <c r="E109" s="1" t="s">
        <v>96</v>
      </c>
      <c r="F109" s="9">
        <v>269</v>
      </c>
      <c r="G109" s="9">
        <v>8</v>
      </c>
      <c r="H109" s="10">
        <f t="shared" si="10"/>
        <v>277</v>
      </c>
      <c r="I109" s="17">
        <v>126</v>
      </c>
      <c r="J109" s="17">
        <v>26</v>
      </c>
      <c r="K109" s="17">
        <v>54</v>
      </c>
      <c r="L109" s="17">
        <f t="shared" si="11"/>
        <v>152</v>
      </c>
      <c r="M109" s="18">
        <f t="shared" si="12"/>
        <v>28</v>
      </c>
      <c r="N109" s="19">
        <v>1</v>
      </c>
      <c r="O109" s="19">
        <v>4</v>
      </c>
      <c r="P109" s="19">
        <v>5</v>
      </c>
      <c r="Q109" s="19">
        <f t="shared" si="13"/>
        <v>5</v>
      </c>
      <c r="R109" s="20">
        <f t="shared" si="14"/>
        <v>1</v>
      </c>
      <c r="S109" s="21">
        <f t="shared" si="15"/>
        <v>157</v>
      </c>
      <c r="T109" s="21">
        <f t="shared" si="16"/>
        <v>30</v>
      </c>
      <c r="U109" s="21">
        <f>K109+P109</f>
        <v>59</v>
      </c>
      <c r="V109" s="21">
        <f t="shared" si="17"/>
        <v>-98</v>
      </c>
      <c r="W109" s="11">
        <f>I109+J109+K109</f>
        <v>206</v>
      </c>
      <c r="X109" s="11">
        <f>N109+O109+P109</f>
        <v>10</v>
      </c>
      <c r="Y109" s="12">
        <f t="shared" si="18"/>
        <v>216</v>
      </c>
      <c r="Z109" s="13">
        <f>I109+K109</f>
        <v>180</v>
      </c>
      <c r="AA109" s="13">
        <f>N109+P109</f>
        <v>6</v>
      </c>
      <c r="AB109" s="14">
        <f t="shared" si="19"/>
        <v>186</v>
      </c>
      <c r="AC109" s="35">
        <f>W109/F109</f>
        <v>0.76579925650557623</v>
      </c>
      <c r="AD109" s="35">
        <f>X109/G109</f>
        <v>1.25</v>
      </c>
      <c r="AE109" s="15">
        <f>Y109/H109</f>
        <v>0.77978339350180503</v>
      </c>
      <c r="AF109" s="36">
        <f>Z109/F109</f>
        <v>0.66914498141263945</v>
      </c>
      <c r="AG109" s="36">
        <f>AA109/G109</f>
        <v>0.75</v>
      </c>
      <c r="AH109" s="15">
        <f>AB109/H109</f>
        <v>0.67148014440433212</v>
      </c>
    </row>
    <row r="110" spans="1:34" x14ac:dyDescent="0.35">
      <c r="A110" s="8">
        <v>107</v>
      </c>
      <c r="B110" s="1" t="s">
        <v>283</v>
      </c>
      <c r="C110" s="1" t="s">
        <v>284</v>
      </c>
      <c r="D110" s="1" t="s">
        <v>15</v>
      </c>
      <c r="E110" s="1" t="s">
        <v>37</v>
      </c>
      <c r="F110" s="9">
        <v>356</v>
      </c>
      <c r="G110" s="9">
        <v>29</v>
      </c>
      <c r="H110" s="10">
        <f t="shared" si="10"/>
        <v>385</v>
      </c>
      <c r="I110" s="17">
        <v>300</v>
      </c>
      <c r="J110" s="17">
        <v>56</v>
      </c>
      <c r="K110" s="17">
        <v>66</v>
      </c>
      <c r="L110" s="17">
        <f t="shared" si="11"/>
        <v>356</v>
      </c>
      <c r="M110" s="18">
        <f t="shared" si="12"/>
        <v>10</v>
      </c>
      <c r="N110" s="19">
        <v>12</v>
      </c>
      <c r="O110" s="19">
        <v>14</v>
      </c>
      <c r="P110" s="19">
        <v>18</v>
      </c>
      <c r="Q110" s="19">
        <f t="shared" si="13"/>
        <v>26</v>
      </c>
      <c r="R110" s="20">
        <f t="shared" si="14"/>
        <v>4</v>
      </c>
      <c r="S110" s="21">
        <f t="shared" si="15"/>
        <v>382</v>
      </c>
      <c r="T110" s="21">
        <f t="shared" si="16"/>
        <v>70</v>
      </c>
      <c r="U110" s="21">
        <f>K110+P110</f>
        <v>84</v>
      </c>
      <c r="V110" s="21">
        <f t="shared" si="17"/>
        <v>-298</v>
      </c>
      <c r="W110" s="11">
        <f>I110+J110+K110</f>
        <v>422</v>
      </c>
      <c r="X110" s="11">
        <f>N110+O110+P110</f>
        <v>44</v>
      </c>
      <c r="Y110" s="12">
        <f t="shared" si="18"/>
        <v>466</v>
      </c>
      <c r="Z110" s="13">
        <f>I110+K110</f>
        <v>366</v>
      </c>
      <c r="AA110" s="13">
        <f>N110+P110</f>
        <v>30</v>
      </c>
      <c r="AB110" s="14">
        <f t="shared" si="19"/>
        <v>396</v>
      </c>
      <c r="AC110" s="35">
        <f>W110/F110</f>
        <v>1.1853932584269662</v>
      </c>
      <c r="AD110" s="35">
        <f>X110/G110</f>
        <v>1.5172413793103448</v>
      </c>
      <c r="AE110" s="15">
        <f>Y110/H110</f>
        <v>1.2103896103896103</v>
      </c>
      <c r="AF110" s="36">
        <f>Z110/F110</f>
        <v>1.0280898876404494</v>
      </c>
      <c r="AG110" s="36">
        <f>AA110/G110</f>
        <v>1.0344827586206897</v>
      </c>
      <c r="AH110" s="15">
        <f>AB110/H110</f>
        <v>1.0285714285714285</v>
      </c>
    </row>
    <row r="111" spans="1:34" x14ac:dyDescent="0.35">
      <c r="A111" s="8">
        <v>108</v>
      </c>
      <c r="B111" s="1" t="s">
        <v>285</v>
      </c>
      <c r="C111" s="1" t="s">
        <v>286</v>
      </c>
      <c r="D111" s="1" t="s">
        <v>15</v>
      </c>
      <c r="E111" s="1" t="s">
        <v>16</v>
      </c>
      <c r="F111" s="9">
        <v>262</v>
      </c>
      <c r="G111" s="9">
        <v>150</v>
      </c>
      <c r="H111" s="10">
        <f t="shared" si="10"/>
        <v>412</v>
      </c>
      <c r="I111" s="17">
        <v>79</v>
      </c>
      <c r="J111" s="17">
        <v>60</v>
      </c>
      <c r="K111" s="17">
        <v>44</v>
      </c>
      <c r="L111" s="17">
        <f t="shared" si="11"/>
        <v>139</v>
      </c>
      <c r="M111" s="18">
        <f t="shared" si="12"/>
        <v>-16</v>
      </c>
      <c r="N111" s="19">
        <v>4</v>
      </c>
      <c r="O111" s="19">
        <v>17</v>
      </c>
      <c r="P111" s="19">
        <v>8</v>
      </c>
      <c r="Q111" s="19">
        <f t="shared" si="13"/>
        <v>21</v>
      </c>
      <c r="R111" s="20">
        <f t="shared" si="14"/>
        <v>-9</v>
      </c>
      <c r="S111" s="21">
        <f t="shared" si="15"/>
        <v>160</v>
      </c>
      <c r="T111" s="21">
        <f t="shared" si="16"/>
        <v>77</v>
      </c>
      <c r="U111" s="21">
        <f>K111+P111</f>
        <v>52</v>
      </c>
      <c r="V111" s="21">
        <f t="shared" si="17"/>
        <v>-108</v>
      </c>
      <c r="W111" s="11">
        <f>I111+J111+K111</f>
        <v>183</v>
      </c>
      <c r="X111" s="11">
        <f>N111+O111+P111</f>
        <v>29</v>
      </c>
      <c r="Y111" s="12">
        <f t="shared" si="18"/>
        <v>212</v>
      </c>
      <c r="Z111" s="13">
        <f>I111+K111</f>
        <v>123</v>
      </c>
      <c r="AA111" s="13">
        <f>N111+P111</f>
        <v>12</v>
      </c>
      <c r="AB111" s="14">
        <f t="shared" si="19"/>
        <v>135</v>
      </c>
      <c r="AC111" s="35">
        <f>W111/F111</f>
        <v>0.69847328244274809</v>
      </c>
      <c r="AD111" s="35">
        <f>X111/G111</f>
        <v>0.19333333333333333</v>
      </c>
      <c r="AE111" s="15">
        <f>Y111/H111</f>
        <v>0.5145631067961165</v>
      </c>
      <c r="AF111" s="36">
        <f>Z111/F111</f>
        <v>0.46946564885496184</v>
      </c>
      <c r="AG111" s="36">
        <f>AA111/G111</f>
        <v>0.08</v>
      </c>
      <c r="AH111" s="15">
        <f>AB111/H111</f>
        <v>0.32766990291262138</v>
      </c>
    </row>
    <row r="112" spans="1:34" x14ac:dyDescent="0.35">
      <c r="A112" s="8">
        <v>109</v>
      </c>
      <c r="B112" s="1" t="s">
        <v>287</v>
      </c>
      <c r="C112" s="1" t="s">
        <v>288</v>
      </c>
      <c r="D112" s="1" t="s">
        <v>15</v>
      </c>
      <c r="E112" s="1" t="s">
        <v>68</v>
      </c>
      <c r="F112" s="9">
        <v>277</v>
      </c>
      <c r="G112" s="9">
        <v>43</v>
      </c>
      <c r="H112" s="10">
        <f t="shared" si="10"/>
        <v>320</v>
      </c>
      <c r="I112" s="17">
        <v>123</v>
      </c>
      <c r="J112" s="17">
        <v>27</v>
      </c>
      <c r="K112" s="17">
        <v>21</v>
      </c>
      <c r="L112" s="17">
        <f t="shared" si="11"/>
        <v>150</v>
      </c>
      <c r="M112" s="18">
        <f t="shared" si="12"/>
        <v>-6</v>
      </c>
      <c r="N112" s="19">
        <v>10</v>
      </c>
      <c r="O112" s="19">
        <v>4</v>
      </c>
      <c r="P112" s="19">
        <v>11</v>
      </c>
      <c r="Q112" s="19">
        <f t="shared" si="13"/>
        <v>14</v>
      </c>
      <c r="R112" s="20">
        <f t="shared" si="14"/>
        <v>7</v>
      </c>
      <c r="S112" s="21">
        <f t="shared" si="15"/>
        <v>164</v>
      </c>
      <c r="T112" s="21">
        <f t="shared" si="16"/>
        <v>31</v>
      </c>
      <c r="U112" s="21">
        <f>K112+P112</f>
        <v>32</v>
      </c>
      <c r="V112" s="21">
        <f t="shared" si="17"/>
        <v>-132</v>
      </c>
      <c r="W112" s="11">
        <f>I112+J112+K112</f>
        <v>171</v>
      </c>
      <c r="X112" s="11">
        <f>N112+O112+P112</f>
        <v>25</v>
      </c>
      <c r="Y112" s="12">
        <f t="shared" si="18"/>
        <v>196</v>
      </c>
      <c r="Z112" s="13">
        <f>I112+K112</f>
        <v>144</v>
      </c>
      <c r="AA112" s="13">
        <f>N112+P112</f>
        <v>21</v>
      </c>
      <c r="AB112" s="14">
        <f t="shared" si="19"/>
        <v>165</v>
      </c>
      <c r="AC112" s="35">
        <f>W112/F112</f>
        <v>0.61732851985559567</v>
      </c>
      <c r="AD112" s="35">
        <f>X112/G112</f>
        <v>0.58139534883720934</v>
      </c>
      <c r="AE112" s="15">
        <f>Y112/H112</f>
        <v>0.61250000000000004</v>
      </c>
      <c r="AF112" s="36">
        <f>Z112/F112</f>
        <v>0.51985559566786999</v>
      </c>
      <c r="AG112" s="36">
        <f>AA112/G112</f>
        <v>0.48837209302325579</v>
      </c>
      <c r="AH112" s="15">
        <f>AB112/H112</f>
        <v>0.515625</v>
      </c>
    </row>
    <row r="113" spans="1:34" x14ac:dyDescent="0.35">
      <c r="A113" s="8">
        <v>110</v>
      </c>
      <c r="B113" s="1" t="s">
        <v>289</v>
      </c>
      <c r="C113" s="1" t="s">
        <v>290</v>
      </c>
      <c r="D113" s="1" t="s">
        <v>15</v>
      </c>
      <c r="E113" s="1" t="s">
        <v>51</v>
      </c>
      <c r="F113" s="9">
        <v>347</v>
      </c>
      <c r="G113" s="9">
        <v>18</v>
      </c>
      <c r="H113" s="10">
        <f t="shared" si="10"/>
        <v>365</v>
      </c>
      <c r="I113" s="17">
        <v>151</v>
      </c>
      <c r="J113" s="17">
        <v>79</v>
      </c>
      <c r="K113" s="17">
        <v>17</v>
      </c>
      <c r="L113" s="17">
        <f t="shared" si="11"/>
        <v>230</v>
      </c>
      <c r="M113" s="18">
        <f t="shared" si="12"/>
        <v>-62</v>
      </c>
      <c r="N113" s="19">
        <v>1</v>
      </c>
      <c r="O113" s="19">
        <v>9</v>
      </c>
      <c r="P113" s="19">
        <v>7</v>
      </c>
      <c r="Q113" s="19">
        <f t="shared" si="13"/>
        <v>10</v>
      </c>
      <c r="R113" s="20">
        <f t="shared" si="14"/>
        <v>-2</v>
      </c>
      <c r="S113" s="21">
        <f t="shared" si="15"/>
        <v>240</v>
      </c>
      <c r="T113" s="21">
        <f t="shared" si="16"/>
        <v>88</v>
      </c>
      <c r="U113" s="21">
        <f>K113+P113</f>
        <v>24</v>
      </c>
      <c r="V113" s="21">
        <f t="shared" si="17"/>
        <v>-216</v>
      </c>
      <c r="W113" s="11">
        <f>I113+J113+K113</f>
        <v>247</v>
      </c>
      <c r="X113" s="11">
        <f>N113+O113+P113</f>
        <v>17</v>
      </c>
      <c r="Y113" s="12">
        <f t="shared" si="18"/>
        <v>264</v>
      </c>
      <c r="Z113" s="13">
        <f>I113+K113</f>
        <v>168</v>
      </c>
      <c r="AA113" s="13">
        <f>N113+P113</f>
        <v>8</v>
      </c>
      <c r="AB113" s="14">
        <f t="shared" si="19"/>
        <v>176</v>
      </c>
      <c r="AC113" s="35">
        <f>W113/F113</f>
        <v>0.71181556195965423</v>
      </c>
      <c r="AD113" s="35">
        <f>X113/G113</f>
        <v>0.94444444444444442</v>
      </c>
      <c r="AE113" s="15">
        <f>Y113/H113</f>
        <v>0.72328767123287674</v>
      </c>
      <c r="AF113" s="36">
        <f>Z113/F113</f>
        <v>0.48414985590778098</v>
      </c>
      <c r="AG113" s="36">
        <f>AA113/G113</f>
        <v>0.44444444444444442</v>
      </c>
      <c r="AH113" s="15">
        <f>AB113/H113</f>
        <v>0.48219178082191783</v>
      </c>
    </row>
    <row r="114" spans="1:34" x14ac:dyDescent="0.35">
      <c r="A114" s="8">
        <v>111</v>
      </c>
      <c r="B114" s="1" t="s">
        <v>291</v>
      </c>
      <c r="C114" s="1" t="s">
        <v>292</v>
      </c>
      <c r="D114" s="1" t="s">
        <v>15</v>
      </c>
      <c r="E114" s="1" t="s">
        <v>37</v>
      </c>
      <c r="F114" s="9">
        <v>350</v>
      </c>
      <c r="G114" s="9">
        <v>25</v>
      </c>
      <c r="H114" s="10">
        <f t="shared" ref="H114:H134" si="20">F114+G114</f>
        <v>375</v>
      </c>
      <c r="I114" s="17">
        <v>130</v>
      </c>
      <c r="J114" s="17">
        <v>16</v>
      </c>
      <c r="K114" s="17">
        <v>58</v>
      </c>
      <c r="L114" s="17">
        <f t="shared" ref="L114:L134" si="21">I114+J114</f>
        <v>146</v>
      </c>
      <c r="M114" s="18">
        <f t="shared" ref="M114:M134" si="22">K114-J114</f>
        <v>42</v>
      </c>
      <c r="N114" s="19">
        <v>1</v>
      </c>
      <c r="O114" s="19">
        <v>2</v>
      </c>
      <c r="P114" s="19">
        <v>5</v>
      </c>
      <c r="Q114" s="19">
        <f t="shared" ref="Q114:Q134" si="23">N114+O114</f>
        <v>3</v>
      </c>
      <c r="R114" s="20">
        <f t="shared" ref="R114:R134" si="24">P114-O114</f>
        <v>3</v>
      </c>
      <c r="S114" s="21">
        <f t="shared" ref="S114:S134" si="25">L114+Q114</f>
        <v>149</v>
      </c>
      <c r="T114" s="21">
        <f t="shared" ref="T114:T134" si="26">J114+O114</f>
        <v>18</v>
      </c>
      <c r="U114" s="21">
        <f>K114+P114</f>
        <v>63</v>
      </c>
      <c r="V114" s="21">
        <f t="shared" ref="V114:V134" si="27">U114-S114</f>
        <v>-86</v>
      </c>
      <c r="W114" s="11">
        <f>I114+J114+K114</f>
        <v>204</v>
      </c>
      <c r="X114" s="11">
        <f>N114+O114+P114</f>
        <v>8</v>
      </c>
      <c r="Y114" s="12">
        <f t="shared" ref="Y114:Y134" si="28">W114+X114</f>
        <v>212</v>
      </c>
      <c r="Z114" s="13">
        <f>I114+K114</f>
        <v>188</v>
      </c>
      <c r="AA114" s="13">
        <f>N114+P114</f>
        <v>6</v>
      </c>
      <c r="AB114" s="14">
        <f t="shared" ref="AB114:AB134" si="29">Z114+AA114</f>
        <v>194</v>
      </c>
      <c r="AC114" s="35">
        <f>W114/F114</f>
        <v>0.58285714285714285</v>
      </c>
      <c r="AD114" s="35">
        <f>X114/G114</f>
        <v>0.32</v>
      </c>
      <c r="AE114" s="15">
        <f>Y114/H114</f>
        <v>0.56533333333333335</v>
      </c>
      <c r="AF114" s="36">
        <f>Z114/F114</f>
        <v>0.53714285714285714</v>
      </c>
      <c r="AG114" s="36">
        <f>AA114/G114</f>
        <v>0.24</v>
      </c>
      <c r="AH114" s="15">
        <f>AB114/H114</f>
        <v>0.51733333333333331</v>
      </c>
    </row>
    <row r="115" spans="1:34" x14ac:dyDescent="0.35">
      <c r="A115" s="8">
        <v>112</v>
      </c>
      <c r="B115" s="1" t="s">
        <v>293</v>
      </c>
      <c r="C115" s="1" t="s">
        <v>294</v>
      </c>
      <c r="D115" s="1" t="s">
        <v>15</v>
      </c>
      <c r="E115" s="1" t="s">
        <v>58</v>
      </c>
      <c r="F115" s="9">
        <v>375</v>
      </c>
      <c r="G115" s="9">
        <v>53</v>
      </c>
      <c r="H115" s="10">
        <f t="shared" si="20"/>
        <v>428</v>
      </c>
      <c r="I115" s="17">
        <v>211</v>
      </c>
      <c r="J115" s="17">
        <v>62</v>
      </c>
      <c r="K115" s="17">
        <v>32</v>
      </c>
      <c r="L115" s="17">
        <f t="shared" si="21"/>
        <v>273</v>
      </c>
      <c r="M115" s="18">
        <f t="shared" si="22"/>
        <v>-30</v>
      </c>
      <c r="N115" s="19">
        <v>3</v>
      </c>
      <c r="O115" s="19">
        <v>28</v>
      </c>
      <c r="P115" s="19">
        <v>3</v>
      </c>
      <c r="Q115" s="19">
        <f t="shared" si="23"/>
        <v>31</v>
      </c>
      <c r="R115" s="20">
        <f t="shared" si="24"/>
        <v>-25</v>
      </c>
      <c r="S115" s="21">
        <f t="shared" si="25"/>
        <v>304</v>
      </c>
      <c r="T115" s="21">
        <f t="shared" si="26"/>
        <v>90</v>
      </c>
      <c r="U115" s="21">
        <f>K115+P115</f>
        <v>35</v>
      </c>
      <c r="V115" s="21">
        <f t="shared" si="27"/>
        <v>-269</v>
      </c>
      <c r="W115" s="11">
        <f>I115+J115+K115</f>
        <v>305</v>
      </c>
      <c r="X115" s="11">
        <f>N115+O115+P115</f>
        <v>34</v>
      </c>
      <c r="Y115" s="12">
        <f t="shared" si="28"/>
        <v>339</v>
      </c>
      <c r="Z115" s="13">
        <f>I115+K115</f>
        <v>243</v>
      </c>
      <c r="AA115" s="13">
        <f>N115+P115</f>
        <v>6</v>
      </c>
      <c r="AB115" s="14">
        <f t="shared" si="29"/>
        <v>249</v>
      </c>
      <c r="AC115" s="35">
        <f>W115/F115</f>
        <v>0.81333333333333335</v>
      </c>
      <c r="AD115" s="35">
        <f>X115/G115</f>
        <v>0.64150943396226412</v>
      </c>
      <c r="AE115" s="15">
        <f>Y115/H115</f>
        <v>0.79205607476635509</v>
      </c>
      <c r="AF115" s="36">
        <f>Z115/F115</f>
        <v>0.64800000000000002</v>
      </c>
      <c r="AG115" s="36">
        <f>AA115/G115</f>
        <v>0.11320754716981132</v>
      </c>
      <c r="AH115" s="15">
        <f>AB115/H115</f>
        <v>0.58177570093457942</v>
      </c>
    </row>
    <row r="116" spans="1:34" x14ac:dyDescent="0.35">
      <c r="A116" s="8">
        <v>113</v>
      </c>
      <c r="B116" s="1" t="s">
        <v>295</v>
      </c>
      <c r="C116" s="1" t="s">
        <v>296</v>
      </c>
      <c r="D116" s="1" t="s">
        <v>15</v>
      </c>
      <c r="E116" s="1" t="s">
        <v>29</v>
      </c>
      <c r="F116" s="9">
        <v>296</v>
      </c>
      <c r="G116" s="9">
        <v>29</v>
      </c>
      <c r="H116" s="10">
        <f t="shared" si="20"/>
        <v>325</v>
      </c>
      <c r="I116" s="17">
        <v>108</v>
      </c>
      <c r="J116" s="17">
        <v>17</v>
      </c>
      <c r="K116" s="17">
        <v>52</v>
      </c>
      <c r="L116" s="17">
        <f t="shared" si="21"/>
        <v>125</v>
      </c>
      <c r="M116" s="18">
        <f t="shared" si="22"/>
        <v>35</v>
      </c>
      <c r="N116" s="19">
        <v>4</v>
      </c>
      <c r="O116" s="19">
        <v>9</v>
      </c>
      <c r="P116" s="19">
        <v>9</v>
      </c>
      <c r="Q116" s="19">
        <f t="shared" si="23"/>
        <v>13</v>
      </c>
      <c r="R116" s="20">
        <f t="shared" si="24"/>
        <v>0</v>
      </c>
      <c r="S116" s="21">
        <f t="shared" si="25"/>
        <v>138</v>
      </c>
      <c r="T116" s="21">
        <f t="shared" si="26"/>
        <v>26</v>
      </c>
      <c r="U116" s="21">
        <f>K116+P116</f>
        <v>61</v>
      </c>
      <c r="V116" s="21">
        <f t="shared" si="27"/>
        <v>-77</v>
      </c>
      <c r="W116" s="11">
        <f>I116+J116+K116</f>
        <v>177</v>
      </c>
      <c r="X116" s="11">
        <f>N116+O116+P116</f>
        <v>22</v>
      </c>
      <c r="Y116" s="12">
        <f t="shared" si="28"/>
        <v>199</v>
      </c>
      <c r="Z116" s="13">
        <f>I116+K116</f>
        <v>160</v>
      </c>
      <c r="AA116" s="13">
        <f>N116+P116</f>
        <v>13</v>
      </c>
      <c r="AB116" s="14">
        <f t="shared" si="29"/>
        <v>173</v>
      </c>
      <c r="AC116" s="35">
        <f>W116/F116</f>
        <v>0.59797297297297303</v>
      </c>
      <c r="AD116" s="35">
        <f>X116/G116</f>
        <v>0.75862068965517238</v>
      </c>
      <c r="AE116" s="15">
        <f>Y116/H116</f>
        <v>0.61230769230769233</v>
      </c>
      <c r="AF116" s="36">
        <f>Z116/F116</f>
        <v>0.54054054054054057</v>
      </c>
      <c r="AG116" s="36">
        <f>AA116/G116</f>
        <v>0.44827586206896552</v>
      </c>
      <c r="AH116" s="15">
        <f>AB116/H116</f>
        <v>0.53230769230769226</v>
      </c>
    </row>
    <row r="117" spans="1:34" x14ac:dyDescent="0.35">
      <c r="A117" s="8">
        <v>114</v>
      </c>
      <c r="B117" s="1" t="s">
        <v>300</v>
      </c>
      <c r="C117" s="1" t="s">
        <v>301</v>
      </c>
      <c r="D117" s="1" t="s">
        <v>15</v>
      </c>
      <c r="E117" s="1" t="s">
        <v>29</v>
      </c>
      <c r="F117" s="9">
        <v>309</v>
      </c>
      <c r="G117" s="9">
        <v>25</v>
      </c>
      <c r="H117" s="10">
        <f t="shared" si="20"/>
        <v>334</v>
      </c>
      <c r="I117" s="17">
        <v>92</v>
      </c>
      <c r="J117" s="17">
        <v>22</v>
      </c>
      <c r="K117" s="17">
        <v>26</v>
      </c>
      <c r="L117" s="17">
        <f t="shared" si="21"/>
        <v>114</v>
      </c>
      <c r="M117" s="18">
        <f t="shared" si="22"/>
        <v>4</v>
      </c>
      <c r="N117" s="19">
        <v>7</v>
      </c>
      <c r="O117" s="19">
        <v>7</v>
      </c>
      <c r="P117" s="19">
        <v>12</v>
      </c>
      <c r="Q117" s="19">
        <f t="shared" si="23"/>
        <v>14</v>
      </c>
      <c r="R117" s="20">
        <f t="shared" si="24"/>
        <v>5</v>
      </c>
      <c r="S117" s="21">
        <f t="shared" si="25"/>
        <v>128</v>
      </c>
      <c r="T117" s="21">
        <f t="shared" si="26"/>
        <v>29</v>
      </c>
      <c r="U117" s="21">
        <f>K117+P117</f>
        <v>38</v>
      </c>
      <c r="V117" s="21">
        <f t="shared" si="27"/>
        <v>-90</v>
      </c>
      <c r="W117" s="11">
        <f>I117+J117+K117</f>
        <v>140</v>
      </c>
      <c r="X117" s="11">
        <f>N117+O117+P117</f>
        <v>26</v>
      </c>
      <c r="Y117" s="12">
        <f t="shared" si="28"/>
        <v>166</v>
      </c>
      <c r="Z117" s="13">
        <f>I117+K117</f>
        <v>118</v>
      </c>
      <c r="AA117" s="13">
        <f>N117+P117</f>
        <v>19</v>
      </c>
      <c r="AB117" s="14">
        <f t="shared" si="29"/>
        <v>137</v>
      </c>
      <c r="AC117" s="35">
        <f>W117/F117</f>
        <v>0.45307443365695793</v>
      </c>
      <c r="AD117" s="35">
        <f>X117/G117</f>
        <v>1.04</v>
      </c>
      <c r="AE117" s="15">
        <f>Y117/H117</f>
        <v>0.49700598802395207</v>
      </c>
      <c r="AF117" s="36">
        <f>Z117/F117</f>
        <v>0.3818770226537217</v>
      </c>
      <c r="AG117" s="36">
        <f>AA117/G117</f>
        <v>0.76</v>
      </c>
      <c r="AH117" s="15">
        <f>AB117/H117</f>
        <v>0.41017964071856289</v>
      </c>
    </row>
    <row r="118" spans="1:34" x14ac:dyDescent="0.35">
      <c r="A118" s="8">
        <v>115</v>
      </c>
      <c r="B118" s="1" t="s">
        <v>302</v>
      </c>
      <c r="C118" s="1" t="s">
        <v>303</v>
      </c>
      <c r="D118" s="1" t="s">
        <v>15</v>
      </c>
      <c r="E118" s="1" t="s">
        <v>37</v>
      </c>
      <c r="F118" s="9">
        <v>258</v>
      </c>
      <c r="G118" s="9">
        <v>74</v>
      </c>
      <c r="H118" s="10">
        <f t="shared" si="20"/>
        <v>332</v>
      </c>
      <c r="I118" s="17">
        <v>170</v>
      </c>
      <c r="J118" s="17">
        <v>29</v>
      </c>
      <c r="K118" s="17">
        <v>66</v>
      </c>
      <c r="L118" s="17">
        <f t="shared" si="21"/>
        <v>199</v>
      </c>
      <c r="M118" s="18">
        <f t="shared" si="22"/>
        <v>37</v>
      </c>
      <c r="N118" s="19">
        <v>16</v>
      </c>
      <c r="O118" s="19">
        <v>38</v>
      </c>
      <c r="P118" s="19">
        <v>61</v>
      </c>
      <c r="Q118" s="19">
        <f t="shared" si="23"/>
        <v>54</v>
      </c>
      <c r="R118" s="20">
        <f t="shared" si="24"/>
        <v>23</v>
      </c>
      <c r="S118" s="21">
        <f t="shared" si="25"/>
        <v>253</v>
      </c>
      <c r="T118" s="21">
        <f t="shared" si="26"/>
        <v>67</v>
      </c>
      <c r="U118" s="21">
        <f>K118+P118</f>
        <v>127</v>
      </c>
      <c r="V118" s="21">
        <f t="shared" si="27"/>
        <v>-126</v>
      </c>
      <c r="W118" s="11">
        <f>I118+J118+K118</f>
        <v>265</v>
      </c>
      <c r="X118" s="11">
        <f>N118+O118+P118</f>
        <v>115</v>
      </c>
      <c r="Y118" s="12">
        <f t="shared" si="28"/>
        <v>380</v>
      </c>
      <c r="Z118" s="13">
        <f>I118+K118</f>
        <v>236</v>
      </c>
      <c r="AA118" s="13">
        <f>N118+P118</f>
        <v>77</v>
      </c>
      <c r="AB118" s="14">
        <f t="shared" si="29"/>
        <v>313</v>
      </c>
      <c r="AC118" s="35">
        <f>W118/F118</f>
        <v>1.0271317829457365</v>
      </c>
      <c r="AD118" s="35">
        <f>X118/G118</f>
        <v>1.5540540540540539</v>
      </c>
      <c r="AE118" s="15">
        <f>Y118/H118</f>
        <v>1.1445783132530121</v>
      </c>
      <c r="AF118" s="36">
        <f>Z118/F118</f>
        <v>0.9147286821705426</v>
      </c>
      <c r="AG118" s="36">
        <f>AA118/G118</f>
        <v>1.0405405405405406</v>
      </c>
      <c r="AH118" s="15">
        <f>AB118/H118</f>
        <v>0.94277108433734935</v>
      </c>
    </row>
    <row r="119" spans="1:34" x14ac:dyDescent="0.35">
      <c r="A119" s="8">
        <v>116</v>
      </c>
      <c r="B119" s="1" t="s">
        <v>304</v>
      </c>
      <c r="C119" s="1" t="s">
        <v>305</v>
      </c>
      <c r="D119" s="1" t="s">
        <v>15</v>
      </c>
      <c r="E119" s="1" t="s">
        <v>68</v>
      </c>
      <c r="F119" s="9">
        <v>289</v>
      </c>
      <c r="G119" s="9">
        <v>24</v>
      </c>
      <c r="H119" s="10">
        <f t="shared" si="20"/>
        <v>313</v>
      </c>
      <c r="I119" s="17">
        <v>139</v>
      </c>
      <c r="J119" s="17">
        <v>35</v>
      </c>
      <c r="K119" s="17">
        <v>46</v>
      </c>
      <c r="L119" s="17">
        <f t="shared" si="21"/>
        <v>174</v>
      </c>
      <c r="M119" s="18">
        <f t="shared" si="22"/>
        <v>11</v>
      </c>
      <c r="N119" s="19">
        <v>1</v>
      </c>
      <c r="O119" s="19">
        <v>11</v>
      </c>
      <c r="P119" s="19">
        <v>4</v>
      </c>
      <c r="Q119" s="19">
        <f t="shared" si="23"/>
        <v>12</v>
      </c>
      <c r="R119" s="20">
        <f t="shared" si="24"/>
        <v>-7</v>
      </c>
      <c r="S119" s="21">
        <f t="shared" si="25"/>
        <v>186</v>
      </c>
      <c r="T119" s="21">
        <f t="shared" si="26"/>
        <v>46</v>
      </c>
      <c r="U119" s="21">
        <f>K119+P119</f>
        <v>50</v>
      </c>
      <c r="V119" s="21">
        <f t="shared" si="27"/>
        <v>-136</v>
      </c>
      <c r="W119" s="11">
        <f>I119+J119+K119</f>
        <v>220</v>
      </c>
      <c r="X119" s="11">
        <f>N119+O119+P119</f>
        <v>16</v>
      </c>
      <c r="Y119" s="12">
        <f t="shared" si="28"/>
        <v>236</v>
      </c>
      <c r="Z119" s="13">
        <f>I119+K119</f>
        <v>185</v>
      </c>
      <c r="AA119" s="13">
        <f>N119+P119</f>
        <v>5</v>
      </c>
      <c r="AB119" s="14">
        <f t="shared" si="29"/>
        <v>190</v>
      </c>
      <c r="AC119" s="35">
        <f>W119/F119</f>
        <v>0.76124567474048443</v>
      </c>
      <c r="AD119" s="35">
        <f>X119/G119</f>
        <v>0.66666666666666663</v>
      </c>
      <c r="AE119" s="15">
        <f>Y119/H119</f>
        <v>0.7539936102236422</v>
      </c>
      <c r="AF119" s="36">
        <f>Z119/F119</f>
        <v>0.64013840830449831</v>
      </c>
      <c r="AG119" s="36">
        <f>AA119/G119</f>
        <v>0.20833333333333334</v>
      </c>
      <c r="AH119" s="15">
        <f>AB119/H119</f>
        <v>0.60702875399361023</v>
      </c>
    </row>
    <row r="120" spans="1:34" x14ac:dyDescent="0.35">
      <c r="A120" s="8">
        <v>117</v>
      </c>
      <c r="B120" s="1" t="s">
        <v>306</v>
      </c>
      <c r="C120" s="1" t="s">
        <v>307</v>
      </c>
      <c r="D120" s="1" t="s">
        <v>15</v>
      </c>
      <c r="E120" s="1" t="s">
        <v>26</v>
      </c>
      <c r="F120" s="9">
        <v>236</v>
      </c>
      <c r="G120" s="9">
        <v>60</v>
      </c>
      <c r="H120" s="10">
        <f t="shared" si="20"/>
        <v>296</v>
      </c>
      <c r="I120" s="17">
        <v>89</v>
      </c>
      <c r="J120" s="17">
        <v>41</v>
      </c>
      <c r="K120" s="17">
        <v>13</v>
      </c>
      <c r="L120" s="17">
        <f t="shared" si="21"/>
        <v>130</v>
      </c>
      <c r="M120" s="18">
        <f t="shared" si="22"/>
        <v>-28</v>
      </c>
      <c r="N120" s="19">
        <v>1</v>
      </c>
      <c r="O120" s="19">
        <v>19</v>
      </c>
      <c r="P120" s="19">
        <v>1</v>
      </c>
      <c r="Q120" s="19">
        <f t="shared" si="23"/>
        <v>20</v>
      </c>
      <c r="R120" s="20">
        <f t="shared" si="24"/>
        <v>-18</v>
      </c>
      <c r="S120" s="21">
        <f t="shared" si="25"/>
        <v>150</v>
      </c>
      <c r="T120" s="21">
        <f t="shared" si="26"/>
        <v>60</v>
      </c>
      <c r="U120" s="21">
        <f>K120+P120</f>
        <v>14</v>
      </c>
      <c r="V120" s="21">
        <f t="shared" si="27"/>
        <v>-136</v>
      </c>
      <c r="W120" s="11">
        <f>I120+J120+K120</f>
        <v>143</v>
      </c>
      <c r="X120" s="11">
        <f>N120+O120+P120</f>
        <v>21</v>
      </c>
      <c r="Y120" s="12">
        <f t="shared" si="28"/>
        <v>164</v>
      </c>
      <c r="Z120" s="13">
        <f>I120+K120</f>
        <v>102</v>
      </c>
      <c r="AA120" s="13">
        <f>N120+P120</f>
        <v>2</v>
      </c>
      <c r="AB120" s="14">
        <f t="shared" si="29"/>
        <v>104</v>
      </c>
      <c r="AC120" s="35">
        <f>W120/F120</f>
        <v>0.60593220338983056</v>
      </c>
      <c r="AD120" s="35">
        <f>X120/G120</f>
        <v>0.35</v>
      </c>
      <c r="AE120" s="15">
        <f>Y120/H120</f>
        <v>0.55405405405405406</v>
      </c>
      <c r="AF120" s="36">
        <f>Z120/F120</f>
        <v>0.43220338983050849</v>
      </c>
      <c r="AG120" s="36">
        <f>AA120/G120</f>
        <v>3.3333333333333333E-2</v>
      </c>
      <c r="AH120" s="15">
        <f>AB120/H120</f>
        <v>0.35135135135135137</v>
      </c>
    </row>
    <row r="121" spans="1:34" x14ac:dyDescent="0.35">
      <c r="A121" s="8">
        <v>118</v>
      </c>
      <c r="B121" s="1" t="s">
        <v>308</v>
      </c>
      <c r="C121" s="1" t="s">
        <v>309</v>
      </c>
      <c r="D121" s="1" t="s">
        <v>15</v>
      </c>
      <c r="E121" s="1" t="s">
        <v>34</v>
      </c>
      <c r="F121" s="9">
        <v>273</v>
      </c>
      <c r="G121" s="9">
        <v>93</v>
      </c>
      <c r="H121" s="10">
        <f t="shared" si="20"/>
        <v>366</v>
      </c>
      <c r="I121" s="17">
        <v>111</v>
      </c>
      <c r="J121" s="17">
        <v>9</v>
      </c>
      <c r="K121" s="17">
        <v>31</v>
      </c>
      <c r="L121" s="17">
        <f t="shared" si="21"/>
        <v>120</v>
      </c>
      <c r="M121" s="18">
        <f t="shared" si="22"/>
        <v>22</v>
      </c>
      <c r="N121" s="19">
        <v>2</v>
      </c>
      <c r="O121" s="19">
        <v>9</v>
      </c>
      <c r="P121" s="19">
        <v>4</v>
      </c>
      <c r="Q121" s="19">
        <f t="shared" si="23"/>
        <v>11</v>
      </c>
      <c r="R121" s="20">
        <f t="shared" si="24"/>
        <v>-5</v>
      </c>
      <c r="S121" s="21">
        <f t="shared" si="25"/>
        <v>131</v>
      </c>
      <c r="T121" s="21">
        <f t="shared" si="26"/>
        <v>18</v>
      </c>
      <c r="U121" s="21">
        <f>K121+P121</f>
        <v>35</v>
      </c>
      <c r="V121" s="21">
        <f t="shared" si="27"/>
        <v>-96</v>
      </c>
      <c r="W121" s="11">
        <f>I121+J121+K121</f>
        <v>151</v>
      </c>
      <c r="X121" s="11">
        <f>N121+O121+P121</f>
        <v>15</v>
      </c>
      <c r="Y121" s="12">
        <f t="shared" si="28"/>
        <v>166</v>
      </c>
      <c r="Z121" s="13">
        <f>I121+K121</f>
        <v>142</v>
      </c>
      <c r="AA121" s="13">
        <f>N121+P121</f>
        <v>6</v>
      </c>
      <c r="AB121" s="14">
        <f t="shared" si="29"/>
        <v>148</v>
      </c>
      <c r="AC121" s="35">
        <f>W121/F121</f>
        <v>0.55311355311355315</v>
      </c>
      <c r="AD121" s="35">
        <f>X121/G121</f>
        <v>0.16129032258064516</v>
      </c>
      <c r="AE121" s="15">
        <f>Y121/H121</f>
        <v>0.45355191256830601</v>
      </c>
      <c r="AF121" s="36">
        <f>Z121/F121</f>
        <v>0.52014652014652019</v>
      </c>
      <c r="AG121" s="36">
        <f>AA121/G121</f>
        <v>6.4516129032258063E-2</v>
      </c>
      <c r="AH121" s="15">
        <f>AB121/H121</f>
        <v>0.40437158469945356</v>
      </c>
    </row>
    <row r="122" spans="1:34" x14ac:dyDescent="0.35">
      <c r="A122" s="8">
        <v>119</v>
      </c>
      <c r="B122" s="1" t="s">
        <v>310</v>
      </c>
      <c r="C122" s="1" t="s">
        <v>311</v>
      </c>
      <c r="D122" s="1" t="s">
        <v>15</v>
      </c>
      <c r="E122" s="1" t="s">
        <v>16</v>
      </c>
      <c r="F122" s="9">
        <v>397</v>
      </c>
      <c r="G122" s="9">
        <v>16</v>
      </c>
      <c r="H122" s="10">
        <f t="shared" si="20"/>
        <v>413</v>
      </c>
      <c r="I122" s="17">
        <v>138</v>
      </c>
      <c r="J122" s="17">
        <v>28</v>
      </c>
      <c r="K122" s="17">
        <v>72</v>
      </c>
      <c r="L122" s="17">
        <f t="shared" si="21"/>
        <v>166</v>
      </c>
      <c r="M122" s="18">
        <f t="shared" si="22"/>
        <v>44</v>
      </c>
      <c r="N122" s="19">
        <v>1</v>
      </c>
      <c r="O122" s="19">
        <v>4</v>
      </c>
      <c r="P122" s="19">
        <v>4</v>
      </c>
      <c r="Q122" s="19">
        <f t="shared" si="23"/>
        <v>5</v>
      </c>
      <c r="R122" s="20">
        <f t="shared" si="24"/>
        <v>0</v>
      </c>
      <c r="S122" s="21">
        <f t="shared" si="25"/>
        <v>171</v>
      </c>
      <c r="T122" s="21">
        <f t="shared" si="26"/>
        <v>32</v>
      </c>
      <c r="U122" s="21">
        <f>K122+P122</f>
        <v>76</v>
      </c>
      <c r="V122" s="21">
        <f t="shared" si="27"/>
        <v>-95</v>
      </c>
      <c r="W122" s="11">
        <f>I122+J122+K122</f>
        <v>238</v>
      </c>
      <c r="X122" s="11">
        <f>N122+O122+P122</f>
        <v>9</v>
      </c>
      <c r="Y122" s="12">
        <f t="shared" si="28"/>
        <v>247</v>
      </c>
      <c r="Z122" s="13">
        <f>I122+K122</f>
        <v>210</v>
      </c>
      <c r="AA122" s="13">
        <f>N122+P122</f>
        <v>5</v>
      </c>
      <c r="AB122" s="14">
        <f t="shared" si="29"/>
        <v>215</v>
      </c>
      <c r="AC122" s="35">
        <f>W122/F122</f>
        <v>0.59949622166246852</v>
      </c>
      <c r="AD122" s="35">
        <f>X122/G122</f>
        <v>0.5625</v>
      </c>
      <c r="AE122" s="15">
        <f>Y122/H122</f>
        <v>0.59806295399515741</v>
      </c>
      <c r="AF122" s="36">
        <f>Z122/F122</f>
        <v>0.52896725440806047</v>
      </c>
      <c r="AG122" s="36">
        <f>AA122/G122</f>
        <v>0.3125</v>
      </c>
      <c r="AH122" s="15">
        <f>AB122/H122</f>
        <v>0.52058111380145278</v>
      </c>
    </row>
    <row r="123" spans="1:34" x14ac:dyDescent="0.35">
      <c r="A123" s="8">
        <v>120</v>
      </c>
      <c r="B123" s="1" t="s">
        <v>312</v>
      </c>
      <c r="C123" s="1" t="s">
        <v>313</v>
      </c>
      <c r="D123" s="1" t="s">
        <v>15</v>
      </c>
      <c r="E123" s="1" t="s">
        <v>48</v>
      </c>
      <c r="F123" s="9">
        <v>346</v>
      </c>
      <c r="G123" s="9">
        <v>54</v>
      </c>
      <c r="H123" s="10">
        <f t="shared" si="20"/>
        <v>400</v>
      </c>
      <c r="I123" s="17">
        <v>124</v>
      </c>
      <c r="J123" s="17">
        <v>34</v>
      </c>
      <c r="K123" s="17">
        <v>35</v>
      </c>
      <c r="L123" s="17">
        <f t="shared" si="21"/>
        <v>158</v>
      </c>
      <c r="M123" s="18">
        <f t="shared" si="22"/>
        <v>1</v>
      </c>
      <c r="N123" s="19">
        <v>3</v>
      </c>
      <c r="O123" s="19">
        <v>4</v>
      </c>
      <c r="P123" s="19">
        <v>14</v>
      </c>
      <c r="Q123" s="19">
        <f t="shared" si="23"/>
        <v>7</v>
      </c>
      <c r="R123" s="20">
        <f t="shared" si="24"/>
        <v>10</v>
      </c>
      <c r="S123" s="21">
        <f t="shared" si="25"/>
        <v>165</v>
      </c>
      <c r="T123" s="21">
        <f t="shared" si="26"/>
        <v>38</v>
      </c>
      <c r="U123" s="21">
        <f>K123+P123</f>
        <v>49</v>
      </c>
      <c r="V123" s="21">
        <f t="shared" si="27"/>
        <v>-116</v>
      </c>
      <c r="W123" s="11">
        <f>I123+J123+K123</f>
        <v>193</v>
      </c>
      <c r="X123" s="11">
        <f>N123+O123+P123</f>
        <v>21</v>
      </c>
      <c r="Y123" s="12">
        <f t="shared" si="28"/>
        <v>214</v>
      </c>
      <c r="Z123" s="13">
        <f>I123+K123</f>
        <v>159</v>
      </c>
      <c r="AA123" s="13">
        <f>N123+P123</f>
        <v>17</v>
      </c>
      <c r="AB123" s="14">
        <f t="shared" si="29"/>
        <v>176</v>
      </c>
      <c r="AC123" s="35">
        <f>W123/F123</f>
        <v>0.55780346820809246</v>
      </c>
      <c r="AD123" s="35">
        <f>X123/G123</f>
        <v>0.3888888888888889</v>
      </c>
      <c r="AE123" s="15">
        <f>Y123/H123</f>
        <v>0.53500000000000003</v>
      </c>
      <c r="AF123" s="36">
        <f>Z123/F123</f>
        <v>0.45953757225433528</v>
      </c>
      <c r="AG123" s="36">
        <f>AA123/G123</f>
        <v>0.31481481481481483</v>
      </c>
      <c r="AH123" s="15">
        <f>AB123/H123</f>
        <v>0.44</v>
      </c>
    </row>
    <row r="124" spans="1:34" x14ac:dyDescent="0.35">
      <c r="A124" s="8">
        <v>121</v>
      </c>
      <c r="B124" s="1" t="s">
        <v>314</v>
      </c>
      <c r="C124" s="1" t="s">
        <v>315</v>
      </c>
      <c r="D124" s="1" t="s">
        <v>15</v>
      </c>
      <c r="E124" s="1" t="s">
        <v>58</v>
      </c>
      <c r="F124" s="9">
        <v>291</v>
      </c>
      <c r="G124" s="9">
        <v>25</v>
      </c>
      <c r="H124" s="10">
        <f t="shared" si="20"/>
        <v>316</v>
      </c>
      <c r="I124" s="17">
        <v>151</v>
      </c>
      <c r="J124" s="17">
        <v>29</v>
      </c>
      <c r="K124" s="17">
        <v>27</v>
      </c>
      <c r="L124" s="17">
        <f t="shared" si="21"/>
        <v>180</v>
      </c>
      <c r="M124" s="18">
        <f t="shared" si="22"/>
        <v>-2</v>
      </c>
      <c r="N124" s="19">
        <v>12</v>
      </c>
      <c r="O124" s="19">
        <v>7</v>
      </c>
      <c r="P124" s="19">
        <v>17</v>
      </c>
      <c r="Q124" s="19">
        <f t="shared" si="23"/>
        <v>19</v>
      </c>
      <c r="R124" s="20">
        <f t="shared" si="24"/>
        <v>10</v>
      </c>
      <c r="S124" s="21">
        <f t="shared" si="25"/>
        <v>199</v>
      </c>
      <c r="T124" s="21">
        <f t="shared" si="26"/>
        <v>36</v>
      </c>
      <c r="U124" s="21">
        <f>K124+P124</f>
        <v>44</v>
      </c>
      <c r="V124" s="21">
        <f t="shared" si="27"/>
        <v>-155</v>
      </c>
      <c r="W124" s="11">
        <f>I124+J124+K124</f>
        <v>207</v>
      </c>
      <c r="X124" s="11">
        <f>N124+O124+P124</f>
        <v>36</v>
      </c>
      <c r="Y124" s="12">
        <f t="shared" si="28"/>
        <v>243</v>
      </c>
      <c r="Z124" s="13">
        <f>I124+K124</f>
        <v>178</v>
      </c>
      <c r="AA124" s="13">
        <f>N124+P124</f>
        <v>29</v>
      </c>
      <c r="AB124" s="14">
        <f t="shared" si="29"/>
        <v>207</v>
      </c>
      <c r="AC124" s="35">
        <f>W124/F124</f>
        <v>0.71134020618556704</v>
      </c>
      <c r="AD124" s="35">
        <f>X124/G124</f>
        <v>1.44</v>
      </c>
      <c r="AE124" s="15">
        <f>Y124/H124</f>
        <v>0.76898734177215189</v>
      </c>
      <c r="AF124" s="36">
        <f>Z124/F124</f>
        <v>0.61168384879725091</v>
      </c>
      <c r="AG124" s="36">
        <f>AA124/G124</f>
        <v>1.1599999999999999</v>
      </c>
      <c r="AH124" s="15">
        <f>AB124/H124</f>
        <v>0.65506329113924056</v>
      </c>
    </row>
    <row r="125" spans="1:34" x14ac:dyDescent="0.35">
      <c r="A125" s="8">
        <v>122</v>
      </c>
      <c r="B125" s="1" t="s">
        <v>316</v>
      </c>
      <c r="C125" s="1" t="s">
        <v>317</v>
      </c>
      <c r="D125" s="1" t="s">
        <v>15</v>
      </c>
      <c r="E125" s="1" t="s">
        <v>51</v>
      </c>
      <c r="F125" s="9">
        <v>350</v>
      </c>
      <c r="G125" s="9">
        <v>36</v>
      </c>
      <c r="H125" s="10">
        <f t="shared" si="20"/>
        <v>386</v>
      </c>
      <c r="I125" s="17">
        <v>154</v>
      </c>
      <c r="J125" s="17">
        <v>12</v>
      </c>
      <c r="K125" s="17">
        <v>21</v>
      </c>
      <c r="L125" s="17">
        <f t="shared" si="21"/>
        <v>166</v>
      </c>
      <c r="M125" s="18">
        <f t="shared" si="22"/>
        <v>9</v>
      </c>
      <c r="N125" s="19">
        <v>3</v>
      </c>
      <c r="O125" s="19">
        <v>10</v>
      </c>
      <c r="P125" s="19">
        <v>8</v>
      </c>
      <c r="Q125" s="19">
        <f t="shared" si="23"/>
        <v>13</v>
      </c>
      <c r="R125" s="20">
        <f t="shared" si="24"/>
        <v>-2</v>
      </c>
      <c r="S125" s="21">
        <f t="shared" si="25"/>
        <v>179</v>
      </c>
      <c r="T125" s="21">
        <f t="shared" si="26"/>
        <v>22</v>
      </c>
      <c r="U125" s="21">
        <f>K125+P125</f>
        <v>29</v>
      </c>
      <c r="V125" s="21">
        <f t="shared" si="27"/>
        <v>-150</v>
      </c>
      <c r="W125" s="11">
        <f>I125+J125+K125</f>
        <v>187</v>
      </c>
      <c r="X125" s="11">
        <f>N125+O125+P125</f>
        <v>21</v>
      </c>
      <c r="Y125" s="12">
        <f t="shared" si="28"/>
        <v>208</v>
      </c>
      <c r="Z125" s="13">
        <f>I125+K125</f>
        <v>175</v>
      </c>
      <c r="AA125" s="13">
        <f>N125+P125</f>
        <v>11</v>
      </c>
      <c r="AB125" s="14">
        <f t="shared" si="29"/>
        <v>186</v>
      </c>
      <c r="AC125" s="35">
        <f>W125/F125</f>
        <v>0.53428571428571425</v>
      </c>
      <c r="AD125" s="35">
        <f>X125/G125</f>
        <v>0.58333333333333337</v>
      </c>
      <c r="AE125" s="15">
        <f>Y125/H125</f>
        <v>0.53886010362694303</v>
      </c>
      <c r="AF125" s="36">
        <f>Z125/F125</f>
        <v>0.5</v>
      </c>
      <c r="AG125" s="36">
        <f>AA125/G125</f>
        <v>0.30555555555555558</v>
      </c>
      <c r="AH125" s="15">
        <f>AB125/H125</f>
        <v>0.48186528497409326</v>
      </c>
    </row>
    <row r="126" spans="1:34" x14ac:dyDescent="0.35">
      <c r="A126" s="8">
        <v>123</v>
      </c>
      <c r="B126" s="1" t="s">
        <v>318</v>
      </c>
      <c r="C126" s="1" t="s">
        <v>319</v>
      </c>
      <c r="D126" s="1" t="s">
        <v>15</v>
      </c>
      <c r="E126" s="1" t="s">
        <v>93</v>
      </c>
      <c r="F126" s="9">
        <v>389</v>
      </c>
      <c r="G126" s="9">
        <v>54</v>
      </c>
      <c r="H126" s="10">
        <f t="shared" si="20"/>
        <v>443</v>
      </c>
      <c r="I126" s="17">
        <v>156</v>
      </c>
      <c r="J126" s="17">
        <v>80</v>
      </c>
      <c r="K126" s="17">
        <v>23</v>
      </c>
      <c r="L126" s="17">
        <f t="shared" si="21"/>
        <v>236</v>
      </c>
      <c r="M126" s="18">
        <f t="shared" si="22"/>
        <v>-57</v>
      </c>
      <c r="N126" s="19">
        <v>6</v>
      </c>
      <c r="O126" s="19">
        <v>18</v>
      </c>
      <c r="P126" s="19">
        <v>16</v>
      </c>
      <c r="Q126" s="19">
        <f t="shared" si="23"/>
        <v>24</v>
      </c>
      <c r="R126" s="20">
        <f t="shared" si="24"/>
        <v>-2</v>
      </c>
      <c r="S126" s="21">
        <f t="shared" si="25"/>
        <v>260</v>
      </c>
      <c r="T126" s="21">
        <f t="shared" si="26"/>
        <v>98</v>
      </c>
      <c r="U126" s="21">
        <f>K126+P126</f>
        <v>39</v>
      </c>
      <c r="V126" s="21">
        <f t="shared" si="27"/>
        <v>-221</v>
      </c>
      <c r="W126" s="11">
        <f>I126+J126+K126</f>
        <v>259</v>
      </c>
      <c r="X126" s="11">
        <f>N126+O126+P126</f>
        <v>40</v>
      </c>
      <c r="Y126" s="12">
        <f t="shared" si="28"/>
        <v>299</v>
      </c>
      <c r="Z126" s="13">
        <f>I126+K126</f>
        <v>179</v>
      </c>
      <c r="AA126" s="13">
        <f>N126+P126</f>
        <v>22</v>
      </c>
      <c r="AB126" s="14">
        <f t="shared" si="29"/>
        <v>201</v>
      </c>
      <c r="AC126" s="35">
        <f>W126/F126</f>
        <v>0.66580976863753216</v>
      </c>
      <c r="AD126" s="35">
        <f>X126/G126</f>
        <v>0.7407407407407407</v>
      </c>
      <c r="AE126" s="15">
        <f>Y126/H126</f>
        <v>0.67494356659142207</v>
      </c>
      <c r="AF126" s="36">
        <f>Z126/F126</f>
        <v>0.46015424164524421</v>
      </c>
      <c r="AG126" s="36">
        <f>AA126/G126</f>
        <v>0.40740740740740738</v>
      </c>
      <c r="AH126" s="15">
        <f>AB126/H126</f>
        <v>0.45372460496613998</v>
      </c>
    </row>
    <row r="127" spans="1:34" x14ac:dyDescent="0.35">
      <c r="A127" s="8">
        <v>124</v>
      </c>
      <c r="B127" s="1" t="s">
        <v>320</v>
      </c>
      <c r="C127" s="1" t="s">
        <v>321</v>
      </c>
      <c r="D127" s="1" t="s">
        <v>15</v>
      </c>
      <c r="E127" s="1" t="s">
        <v>48</v>
      </c>
      <c r="F127" s="9">
        <v>377</v>
      </c>
      <c r="G127" s="9">
        <v>59</v>
      </c>
      <c r="H127" s="10">
        <f t="shared" si="20"/>
        <v>436</v>
      </c>
      <c r="I127" s="17">
        <v>186</v>
      </c>
      <c r="J127" s="17">
        <v>60</v>
      </c>
      <c r="K127" s="17">
        <v>32</v>
      </c>
      <c r="L127" s="17">
        <f t="shared" si="21"/>
        <v>246</v>
      </c>
      <c r="M127" s="18">
        <f t="shared" si="22"/>
        <v>-28</v>
      </c>
      <c r="N127" s="19">
        <v>4</v>
      </c>
      <c r="O127" s="19">
        <v>9</v>
      </c>
      <c r="P127" s="19">
        <v>8</v>
      </c>
      <c r="Q127" s="19">
        <f t="shared" si="23"/>
        <v>13</v>
      </c>
      <c r="R127" s="20">
        <f t="shared" si="24"/>
        <v>-1</v>
      </c>
      <c r="S127" s="21">
        <f t="shared" si="25"/>
        <v>259</v>
      </c>
      <c r="T127" s="21">
        <f t="shared" si="26"/>
        <v>69</v>
      </c>
      <c r="U127" s="21">
        <f>K127+P127</f>
        <v>40</v>
      </c>
      <c r="V127" s="21">
        <f t="shared" si="27"/>
        <v>-219</v>
      </c>
      <c r="W127" s="11">
        <f>I127+J127+K127</f>
        <v>278</v>
      </c>
      <c r="X127" s="11">
        <f>N127+O127+P127</f>
        <v>21</v>
      </c>
      <c r="Y127" s="12">
        <f t="shared" si="28"/>
        <v>299</v>
      </c>
      <c r="Z127" s="13">
        <f>I127+K127</f>
        <v>218</v>
      </c>
      <c r="AA127" s="13">
        <f>N127+P127</f>
        <v>12</v>
      </c>
      <c r="AB127" s="14">
        <f t="shared" si="29"/>
        <v>230</v>
      </c>
      <c r="AC127" s="35">
        <f>W127/F127</f>
        <v>0.7374005305039788</v>
      </c>
      <c r="AD127" s="35">
        <f>X127/G127</f>
        <v>0.3559322033898305</v>
      </c>
      <c r="AE127" s="15">
        <f>Y127/H127</f>
        <v>0.68577981651376152</v>
      </c>
      <c r="AF127" s="36">
        <f>Z127/F127</f>
        <v>0.57824933687002655</v>
      </c>
      <c r="AG127" s="36">
        <f>AA127/G127</f>
        <v>0.20338983050847459</v>
      </c>
      <c r="AH127" s="15">
        <f>AB127/H127</f>
        <v>0.52752293577981646</v>
      </c>
    </row>
    <row r="128" spans="1:34" x14ac:dyDescent="0.35">
      <c r="A128" s="8">
        <v>125</v>
      </c>
      <c r="B128" s="1" t="s">
        <v>322</v>
      </c>
      <c r="C128" s="1" t="s">
        <v>323</v>
      </c>
      <c r="D128" s="1" t="s">
        <v>15</v>
      </c>
      <c r="E128" s="1" t="s">
        <v>58</v>
      </c>
      <c r="F128" s="9">
        <v>303</v>
      </c>
      <c r="G128" s="9">
        <v>15</v>
      </c>
      <c r="H128" s="10">
        <f t="shared" si="20"/>
        <v>318</v>
      </c>
      <c r="I128" s="17">
        <v>139</v>
      </c>
      <c r="J128" s="17">
        <v>35</v>
      </c>
      <c r="K128" s="17">
        <v>18</v>
      </c>
      <c r="L128" s="17">
        <f t="shared" si="21"/>
        <v>174</v>
      </c>
      <c r="M128" s="18">
        <f t="shared" si="22"/>
        <v>-17</v>
      </c>
      <c r="N128" s="19">
        <v>5</v>
      </c>
      <c r="O128" s="19">
        <v>6</v>
      </c>
      <c r="P128" s="19">
        <v>5</v>
      </c>
      <c r="Q128" s="19">
        <f t="shared" si="23"/>
        <v>11</v>
      </c>
      <c r="R128" s="20">
        <f t="shared" si="24"/>
        <v>-1</v>
      </c>
      <c r="S128" s="21">
        <f t="shared" si="25"/>
        <v>185</v>
      </c>
      <c r="T128" s="21">
        <f t="shared" si="26"/>
        <v>41</v>
      </c>
      <c r="U128" s="21">
        <f>K128+P128</f>
        <v>23</v>
      </c>
      <c r="V128" s="21">
        <f t="shared" si="27"/>
        <v>-162</v>
      </c>
      <c r="W128" s="11">
        <f>I128+J128+K128</f>
        <v>192</v>
      </c>
      <c r="X128" s="11">
        <f>N128+O128+P128</f>
        <v>16</v>
      </c>
      <c r="Y128" s="12">
        <f t="shared" si="28"/>
        <v>208</v>
      </c>
      <c r="Z128" s="13">
        <f>I128+K128</f>
        <v>157</v>
      </c>
      <c r="AA128" s="13">
        <f>N128+P128</f>
        <v>10</v>
      </c>
      <c r="AB128" s="14">
        <f t="shared" si="29"/>
        <v>167</v>
      </c>
      <c r="AC128" s="35">
        <f>W128/F128</f>
        <v>0.63366336633663367</v>
      </c>
      <c r="AD128" s="35">
        <f>X128/G128</f>
        <v>1.0666666666666667</v>
      </c>
      <c r="AE128" s="15">
        <f>Y128/H128</f>
        <v>0.65408805031446537</v>
      </c>
      <c r="AF128" s="36">
        <f>Z128/F128</f>
        <v>0.5181518151815182</v>
      </c>
      <c r="AG128" s="36">
        <f>AA128/G128</f>
        <v>0.66666666666666663</v>
      </c>
      <c r="AH128" s="15">
        <f>AB128/H128</f>
        <v>0.52515723270440251</v>
      </c>
    </row>
    <row r="129" spans="1:34" x14ac:dyDescent="0.35">
      <c r="A129" s="8">
        <v>126</v>
      </c>
      <c r="B129" s="1" t="s">
        <v>326</v>
      </c>
      <c r="C129" s="1" t="s">
        <v>327</v>
      </c>
      <c r="D129" s="1" t="s">
        <v>15</v>
      </c>
      <c r="E129" s="1" t="s">
        <v>34</v>
      </c>
      <c r="F129" s="9">
        <v>304</v>
      </c>
      <c r="G129" s="9">
        <v>28</v>
      </c>
      <c r="H129" s="10">
        <f t="shared" si="20"/>
        <v>332</v>
      </c>
      <c r="I129" s="17">
        <v>90</v>
      </c>
      <c r="J129" s="17">
        <v>23</v>
      </c>
      <c r="K129" s="17">
        <v>39</v>
      </c>
      <c r="L129" s="17">
        <f t="shared" si="21"/>
        <v>113</v>
      </c>
      <c r="M129" s="18">
        <f t="shared" si="22"/>
        <v>16</v>
      </c>
      <c r="N129" s="19">
        <v>3</v>
      </c>
      <c r="O129" s="19">
        <v>3</v>
      </c>
      <c r="P129" s="19">
        <v>5</v>
      </c>
      <c r="Q129" s="19">
        <f t="shared" si="23"/>
        <v>6</v>
      </c>
      <c r="R129" s="20">
        <f t="shared" si="24"/>
        <v>2</v>
      </c>
      <c r="S129" s="21">
        <f t="shared" si="25"/>
        <v>119</v>
      </c>
      <c r="T129" s="21">
        <f t="shared" si="26"/>
        <v>26</v>
      </c>
      <c r="U129" s="21">
        <f>K129+P129</f>
        <v>44</v>
      </c>
      <c r="V129" s="21">
        <f t="shared" si="27"/>
        <v>-75</v>
      </c>
      <c r="W129" s="11">
        <f>I129+J129+K129</f>
        <v>152</v>
      </c>
      <c r="X129" s="11">
        <f>N129+O129+P129</f>
        <v>11</v>
      </c>
      <c r="Y129" s="12">
        <f t="shared" si="28"/>
        <v>163</v>
      </c>
      <c r="Z129" s="13">
        <f>I129+K129</f>
        <v>129</v>
      </c>
      <c r="AA129" s="13">
        <f>N129+P129</f>
        <v>8</v>
      </c>
      <c r="AB129" s="14">
        <f t="shared" si="29"/>
        <v>137</v>
      </c>
      <c r="AC129" s="35">
        <f>W129/F129</f>
        <v>0.5</v>
      </c>
      <c r="AD129" s="35">
        <f>X129/G129</f>
        <v>0.39285714285714285</v>
      </c>
      <c r="AE129" s="15">
        <f>Y129/H129</f>
        <v>0.49096385542168675</v>
      </c>
      <c r="AF129" s="36">
        <f>Z129/F129</f>
        <v>0.42434210526315791</v>
      </c>
      <c r="AG129" s="36">
        <f>AA129/G129</f>
        <v>0.2857142857142857</v>
      </c>
      <c r="AH129" s="15">
        <f>AB129/H129</f>
        <v>0.41265060240963858</v>
      </c>
    </row>
    <row r="130" spans="1:34" x14ac:dyDescent="0.35">
      <c r="A130" s="8">
        <v>127</v>
      </c>
      <c r="B130" s="1" t="s">
        <v>330</v>
      </c>
      <c r="C130" s="1" t="s">
        <v>331</v>
      </c>
      <c r="D130" s="1" t="s">
        <v>15</v>
      </c>
      <c r="E130" s="1" t="s">
        <v>34</v>
      </c>
      <c r="F130" s="9">
        <v>349</v>
      </c>
      <c r="G130" s="9">
        <v>20</v>
      </c>
      <c r="H130" s="10">
        <f t="shared" si="20"/>
        <v>369</v>
      </c>
      <c r="I130" s="17">
        <v>104</v>
      </c>
      <c r="J130" s="17">
        <v>20</v>
      </c>
      <c r="K130" s="17">
        <v>21</v>
      </c>
      <c r="L130" s="17">
        <f t="shared" si="21"/>
        <v>124</v>
      </c>
      <c r="M130" s="18">
        <f t="shared" si="22"/>
        <v>1</v>
      </c>
      <c r="N130" s="19">
        <v>2</v>
      </c>
      <c r="O130" s="19">
        <v>4</v>
      </c>
      <c r="P130" s="19">
        <v>2</v>
      </c>
      <c r="Q130" s="19">
        <f t="shared" si="23"/>
        <v>6</v>
      </c>
      <c r="R130" s="20">
        <f t="shared" si="24"/>
        <v>-2</v>
      </c>
      <c r="S130" s="21">
        <f t="shared" si="25"/>
        <v>130</v>
      </c>
      <c r="T130" s="21">
        <f t="shared" si="26"/>
        <v>24</v>
      </c>
      <c r="U130" s="21">
        <f>K130+P130</f>
        <v>23</v>
      </c>
      <c r="V130" s="21">
        <f t="shared" si="27"/>
        <v>-107</v>
      </c>
      <c r="W130" s="11">
        <f>I130+J130+K130</f>
        <v>145</v>
      </c>
      <c r="X130" s="11">
        <f>N130+O130+P130</f>
        <v>8</v>
      </c>
      <c r="Y130" s="12">
        <f t="shared" si="28"/>
        <v>153</v>
      </c>
      <c r="Z130" s="13">
        <f>I130+K130</f>
        <v>125</v>
      </c>
      <c r="AA130" s="13">
        <f>N130+P130</f>
        <v>4</v>
      </c>
      <c r="AB130" s="14">
        <f t="shared" si="29"/>
        <v>129</v>
      </c>
      <c r="AC130" s="35">
        <f>W130/F130</f>
        <v>0.41547277936962751</v>
      </c>
      <c r="AD130" s="35">
        <f>X130/G130</f>
        <v>0.4</v>
      </c>
      <c r="AE130" s="15">
        <f>Y130/H130</f>
        <v>0.41463414634146339</v>
      </c>
      <c r="AF130" s="36">
        <f>Z130/F130</f>
        <v>0.35816618911174786</v>
      </c>
      <c r="AG130" s="36">
        <f>AA130/G130</f>
        <v>0.2</v>
      </c>
      <c r="AH130" s="15">
        <f>AB130/H130</f>
        <v>0.34959349593495936</v>
      </c>
    </row>
    <row r="131" spans="1:34" x14ac:dyDescent="0.35">
      <c r="A131" s="8">
        <v>128</v>
      </c>
      <c r="B131" s="1" t="s">
        <v>332</v>
      </c>
      <c r="C131" s="1" t="s">
        <v>333</v>
      </c>
      <c r="D131" s="1" t="s">
        <v>15</v>
      </c>
      <c r="E131" s="1" t="s">
        <v>58</v>
      </c>
      <c r="F131" s="9">
        <v>283</v>
      </c>
      <c r="G131" s="9">
        <v>108</v>
      </c>
      <c r="H131" s="10">
        <f t="shared" si="20"/>
        <v>391</v>
      </c>
      <c r="I131" s="17">
        <v>167</v>
      </c>
      <c r="J131" s="17">
        <v>44</v>
      </c>
      <c r="K131" s="17">
        <v>13</v>
      </c>
      <c r="L131" s="17">
        <f t="shared" si="21"/>
        <v>211</v>
      </c>
      <c r="M131" s="18">
        <f t="shared" si="22"/>
        <v>-31</v>
      </c>
      <c r="N131" s="19">
        <v>4</v>
      </c>
      <c r="O131" s="19">
        <v>14</v>
      </c>
      <c r="P131" s="19">
        <v>4</v>
      </c>
      <c r="Q131" s="19">
        <f t="shared" si="23"/>
        <v>18</v>
      </c>
      <c r="R131" s="20">
        <f t="shared" si="24"/>
        <v>-10</v>
      </c>
      <c r="S131" s="21">
        <f t="shared" si="25"/>
        <v>229</v>
      </c>
      <c r="T131" s="21">
        <f t="shared" si="26"/>
        <v>58</v>
      </c>
      <c r="U131" s="21">
        <f>K131+P131</f>
        <v>17</v>
      </c>
      <c r="V131" s="21">
        <f t="shared" si="27"/>
        <v>-212</v>
      </c>
      <c r="W131" s="11">
        <f>I131+J131+K131</f>
        <v>224</v>
      </c>
      <c r="X131" s="11">
        <f>N131+O131+P131</f>
        <v>22</v>
      </c>
      <c r="Y131" s="12">
        <f t="shared" si="28"/>
        <v>246</v>
      </c>
      <c r="Z131" s="13">
        <f>I131+K131</f>
        <v>180</v>
      </c>
      <c r="AA131" s="13">
        <f>N131+P131</f>
        <v>8</v>
      </c>
      <c r="AB131" s="14">
        <f t="shared" si="29"/>
        <v>188</v>
      </c>
      <c r="AC131" s="35">
        <f>W131/F131</f>
        <v>0.79151943462897523</v>
      </c>
      <c r="AD131" s="35">
        <f>X131/G131</f>
        <v>0.20370370370370369</v>
      </c>
      <c r="AE131" s="15">
        <f>Y131/H131</f>
        <v>0.62915601023017897</v>
      </c>
      <c r="AF131" s="36">
        <f>Z131/F131</f>
        <v>0.63604240282685509</v>
      </c>
      <c r="AG131" s="36">
        <f>AA131/G131</f>
        <v>7.407407407407407E-2</v>
      </c>
      <c r="AH131" s="15">
        <f>AB131/H131</f>
        <v>0.48081841432225064</v>
      </c>
    </row>
    <row r="132" spans="1:34" x14ac:dyDescent="0.35">
      <c r="A132" s="8">
        <v>129</v>
      </c>
      <c r="B132" s="1" t="s">
        <v>334</v>
      </c>
      <c r="C132" s="1" t="s">
        <v>335</v>
      </c>
      <c r="D132" s="1" t="s">
        <v>15</v>
      </c>
      <c r="E132" s="1" t="s">
        <v>16</v>
      </c>
      <c r="F132" s="9">
        <v>359</v>
      </c>
      <c r="G132" s="9">
        <v>22</v>
      </c>
      <c r="H132" s="10">
        <f t="shared" si="20"/>
        <v>381</v>
      </c>
      <c r="I132" s="17">
        <v>149</v>
      </c>
      <c r="J132" s="17">
        <v>27</v>
      </c>
      <c r="K132" s="17">
        <v>8</v>
      </c>
      <c r="L132" s="17">
        <f t="shared" si="21"/>
        <v>176</v>
      </c>
      <c r="M132" s="18">
        <f t="shared" si="22"/>
        <v>-19</v>
      </c>
      <c r="N132" s="19">
        <v>4</v>
      </c>
      <c r="O132" s="19">
        <v>6</v>
      </c>
      <c r="P132" s="19">
        <v>7</v>
      </c>
      <c r="Q132" s="19">
        <f t="shared" si="23"/>
        <v>10</v>
      </c>
      <c r="R132" s="20">
        <f t="shared" si="24"/>
        <v>1</v>
      </c>
      <c r="S132" s="21">
        <f t="shared" si="25"/>
        <v>186</v>
      </c>
      <c r="T132" s="21">
        <f t="shared" si="26"/>
        <v>33</v>
      </c>
      <c r="U132" s="21">
        <f>K132+P132</f>
        <v>15</v>
      </c>
      <c r="V132" s="21">
        <f t="shared" si="27"/>
        <v>-171</v>
      </c>
      <c r="W132" s="11">
        <f>I132+J132+K132</f>
        <v>184</v>
      </c>
      <c r="X132" s="11">
        <f>N132+O132+P132</f>
        <v>17</v>
      </c>
      <c r="Y132" s="12">
        <f t="shared" si="28"/>
        <v>201</v>
      </c>
      <c r="Z132" s="13">
        <f>I132+K132</f>
        <v>157</v>
      </c>
      <c r="AA132" s="13">
        <f>N132+P132</f>
        <v>11</v>
      </c>
      <c r="AB132" s="14">
        <f t="shared" si="29"/>
        <v>168</v>
      </c>
      <c r="AC132" s="35">
        <f>W132/F132</f>
        <v>0.51253481894150421</v>
      </c>
      <c r="AD132" s="35">
        <f>X132/G132</f>
        <v>0.77272727272727271</v>
      </c>
      <c r="AE132" s="15">
        <f>Y132/H132</f>
        <v>0.52755905511811019</v>
      </c>
      <c r="AF132" s="36">
        <f>Z132/F132</f>
        <v>0.43732590529247911</v>
      </c>
      <c r="AG132" s="36">
        <f>AA132/G132</f>
        <v>0.5</v>
      </c>
      <c r="AH132" s="15">
        <f>AB132/H132</f>
        <v>0.44094488188976377</v>
      </c>
    </row>
    <row r="133" spans="1:34" x14ac:dyDescent="0.35">
      <c r="A133" s="8">
        <v>130</v>
      </c>
      <c r="B133" s="1" t="s">
        <v>338</v>
      </c>
      <c r="C133" s="1" t="s">
        <v>339</v>
      </c>
      <c r="D133" s="1" t="s">
        <v>15</v>
      </c>
      <c r="E133" s="1" t="s">
        <v>29</v>
      </c>
      <c r="F133" s="9">
        <v>316</v>
      </c>
      <c r="G133" s="9">
        <v>24</v>
      </c>
      <c r="H133" s="10">
        <f t="shared" si="20"/>
        <v>340</v>
      </c>
      <c r="I133" s="17">
        <v>116</v>
      </c>
      <c r="J133" s="17">
        <v>40</v>
      </c>
      <c r="K133" s="17">
        <v>25</v>
      </c>
      <c r="L133" s="17">
        <f t="shared" si="21"/>
        <v>156</v>
      </c>
      <c r="M133" s="18">
        <f t="shared" si="22"/>
        <v>-15</v>
      </c>
      <c r="N133" s="19">
        <v>2</v>
      </c>
      <c r="O133" s="19">
        <v>7</v>
      </c>
      <c r="P133" s="19">
        <v>9</v>
      </c>
      <c r="Q133" s="19">
        <f t="shared" si="23"/>
        <v>9</v>
      </c>
      <c r="R133" s="20">
        <f t="shared" si="24"/>
        <v>2</v>
      </c>
      <c r="S133" s="21">
        <f t="shared" si="25"/>
        <v>165</v>
      </c>
      <c r="T133" s="21">
        <f t="shared" si="26"/>
        <v>47</v>
      </c>
      <c r="U133" s="21">
        <f>K133+P133</f>
        <v>34</v>
      </c>
      <c r="V133" s="21">
        <f t="shared" si="27"/>
        <v>-131</v>
      </c>
      <c r="W133" s="11">
        <f>I133+J133+K133</f>
        <v>181</v>
      </c>
      <c r="X133" s="11">
        <f>N133+O133+P133</f>
        <v>18</v>
      </c>
      <c r="Y133" s="12">
        <f t="shared" si="28"/>
        <v>199</v>
      </c>
      <c r="Z133" s="13">
        <f>I133+K133</f>
        <v>141</v>
      </c>
      <c r="AA133" s="13">
        <f>N133+P133</f>
        <v>11</v>
      </c>
      <c r="AB133" s="14">
        <f t="shared" si="29"/>
        <v>152</v>
      </c>
      <c r="AC133" s="35">
        <f>W133/F133</f>
        <v>0.57278481012658233</v>
      </c>
      <c r="AD133" s="35">
        <f>X133/G133</f>
        <v>0.75</v>
      </c>
      <c r="AE133" s="15">
        <f>Y133/H133</f>
        <v>0.58529411764705885</v>
      </c>
      <c r="AF133" s="36">
        <f>Z133/F133</f>
        <v>0.44620253164556961</v>
      </c>
      <c r="AG133" s="36">
        <f>AA133/G133</f>
        <v>0.45833333333333331</v>
      </c>
      <c r="AH133" s="15">
        <f>AB133/H133</f>
        <v>0.44705882352941179</v>
      </c>
    </row>
    <row r="134" spans="1:34" x14ac:dyDescent="0.35">
      <c r="A134" s="8"/>
      <c r="B134" s="1"/>
      <c r="C134" s="1"/>
      <c r="D134" s="1" t="s">
        <v>15</v>
      </c>
      <c r="E134" s="1" t="s">
        <v>340</v>
      </c>
      <c r="F134" s="9">
        <v>0</v>
      </c>
      <c r="G134" s="9">
        <v>12</v>
      </c>
      <c r="H134" s="10">
        <f t="shared" si="20"/>
        <v>12</v>
      </c>
      <c r="I134" s="17">
        <v>0</v>
      </c>
      <c r="J134" s="17">
        <v>0</v>
      </c>
      <c r="K134" s="17">
        <v>0</v>
      </c>
      <c r="L134" s="17">
        <f t="shared" si="21"/>
        <v>0</v>
      </c>
      <c r="M134" s="18">
        <f t="shared" si="22"/>
        <v>0</v>
      </c>
      <c r="N134" s="19">
        <v>0</v>
      </c>
      <c r="O134" s="19">
        <v>0</v>
      </c>
      <c r="P134" s="19">
        <v>0</v>
      </c>
      <c r="Q134" s="19">
        <f t="shared" si="23"/>
        <v>0</v>
      </c>
      <c r="R134" s="20">
        <f t="shared" si="24"/>
        <v>0</v>
      </c>
      <c r="S134" s="21">
        <f t="shared" si="25"/>
        <v>0</v>
      </c>
      <c r="T134" s="21">
        <f t="shared" si="26"/>
        <v>0</v>
      </c>
      <c r="U134" s="21">
        <f>K134+P134</f>
        <v>0</v>
      </c>
      <c r="V134" s="21">
        <f t="shared" si="27"/>
        <v>0</v>
      </c>
      <c r="W134" s="11">
        <f>I134+J134+K134</f>
        <v>0</v>
      </c>
      <c r="X134" s="11">
        <f>N134+O134+P134</f>
        <v>0</v>
      </c>
      <c r="Y134" s="12">
        <f t="shared" si="28"/>
        <v>0</v>
      </c>
      <c r="Z134" s="13">
        <f>I134+K134</f>
        <v>0</v>
      </c>
      <c r="AA134" s="13">
        <f>N134+P134</f>
        <v>0</v>
      </c>
      <c r="AB134" s="14">
        <f t="shared" si="29"/>
        <v>0</v>
      </c>
      <c r="AC134" s="35"/>
      <c r="AD134" s="35">
        <f>X134/G134</f>
        <v>0</v>
      </c>
      <c r="AE134" s="15">
        <f>Y134/H134</f>
        <v>0</v>
      </c>
      <c r="AF134" s="36"/>
      <c r="AG134" s="36">
        <f>AA134/G134</f>
        <v>0</v>
      </c>
      <c r="AH134" s="15">
        <f>AB134/H134</f>
        <v>0</v>
      </c>
    </row>
  </sheetData>
  <autoFilter ref="A3:AZ134" xr:uid="{ECD078C4-4B38-4784-B6F8-92A552C68CFE}"/>
  <mergeCells count="12">
    <mergeCell ref="AC2:AE2"/>
    <mergeCell ref="AF2:AH2"/>
    <mergeCell ref="F1:H1"/>
    <mergeCell ref="I1:V1"/>
    <mergeCell ref="W1:AB1"/>
    <mergeCell ref="AC1:AH1"/>
    <mergeCell ref="F2:H2"/>
    <mergeCell ref="I2:M2"/>
    <mergeCell ref="N2:R2"/>
    <mergeCell ref="S2:V2"/>
    <mergeCell ref="W2:Y2"/>
    <mergeCell ref="Z2:AB2"/>
  </mergeCells>
  <conditionalFormatting sqref="AE4:AE134">
    <cfRule type="cellIs" dxfId="3" priority="2" operator="greaterThan">
      <formula>0.3999999999</formula>
    </cfRule>
  </conditionalFormatting>
  <conditionalFormatting sqref="AH4:AH134">
    <cfRule type="cellIs" dxfId="2" priority="1" operator="greaterThan">
      <formula>0.3999999999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6E92-CD7C-4BA2-B0C1-B4128F266F62}">
  <sheetPr>
    <tabColor theme="5" tint="-0.249977111117893"/>
  </sheetPr>
  <dimension ref="A1:AH27"/>
  <sheetViews>
    <sheetView workbookViewId="0">
      <selection activeCell="S24" activeCellId="3" sqref="A15:XFD15 A17:XFD17 A21:XFD21 A24:XFD24"/>
    </sheetView>
  </sheetViews>
  <sheetFormatPr defaultRowHeight="14.5" x14ac:dyDescent="0.35"/>
  <cols>
    <col min="1" max="1" width="8.7265625" style="16"/>
    <col min="2" max="2" width="33.81640625" bestFit="1" customWidth="1"/>
    <col min="3" max="3" width="34.453125" customWidth="1"/>
    <col min="4" max="4" width="7.36328125" bestFit="1" customWidth="1"/>
    <col min="5" max="5" width="60.36328125" bestFit="1" customWidth="1"/>
    <col min="6" max="8" width="8.7265625" customWidth="1"/>
    <col min="9" max="11" width="11.81640625" style="16" customWidth="1"/>
    <col min="12" max="12" width="15.453125" style="16" bestFit="1" customWidth="1"/>
    <col min="13" max="13" width="21.81640625" style="16" bestFit="1" customWidth="1"/>
    <col min="14" max="16" width="11.81640625" style="16" customWidth="1"/>
    <col min="17" max="17" width="15.453125" style="16" bestFit="1" customWidth="1"/>
    <col min="18" max="18" width="21.81640625" style="16" bestFit="1" customWidth="1"/>
    <col min="19" max="19" width="14.6328125" style="16" bestFit="1" customWidth="1"/>
    <col min="20" max="22" width="11.81640625" style="16" customWidth="1"/>
    <col min="23" max="23" width="11.36328125" bestFit="1" customWidth="1"/>
    <col min="24" max="25" width="8.7265625" customWidth="1"/>
    <col min="26" max="26" width="11.36328125" bestFit="1" customWidth="1"/>
    <col min="27" max="28" width="8.7265625" customWidth="1"/>
    <col min="29" max="29" width="11.36328125" bestFit="1" customWidth="1"/>
    <col min="30" max="31" width="8.7265625" customWidth="1"/>
    <col min="32" max="32" width="11.36328125" bestFit="1" customWidth="1"/>
    <col min="33" max="34" width="8.7265625" customWidth="1"/>
  </cols>
  <sheetData>
    <row r="1" spans="1:34" x14ac:dyDescent="0.35">
      <c r="A1" s="1"/>
      <c r="B1" s="1"/>
      <c r="C1" s="1"/>
      <c r="D1" s="1"/>
      <c r="E1" s="1"/>
      <c r="F1" s="29" t="s">
        <v>0</v>
      </c>
      <c r="G1" s="30"/>
      <c r="H1" s="30"/>
      <c r="I1" s="31" t="s">
        <v>343</v>
      </c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3"/>
      <c r="W1" s="25" t="s">
        <v>1</v>
      </c>
      <c r="X1" s="25"/>
      <c r="Y1" s="25"/>
      <c r="Z1" s="25"/>
      <c r="AA1" s="25"/>
      <c r="AB1" s="25"/>
      <c r="AC1" s="34" t="s">
        <v>348</v>
      </c>
      <c r="AD1" s="34"/>
      <c r="AE1" s="34"/>
      <c r="AF1" s="34"/>
      <c r="AG1" s="34"/>
      <c r="AH1" s="34"/>
    </row>
    <row r="2" spans="1:34" x14ac:dyDescent="0.35">
      <c r="A2" s="1"/>
      <c r="B2" s="1"/>
      <c r="C2" s="1"/>
      <c r="D2" s="1"/>
      <c r="E2" s="1"/>
      <c r="F2" s="22" t="s">
        <v>345</v>
      </c>
      <c r="G2" s="22"/>
      <c r="H2" s="22"/>
      <c r="I2" s="23" t="s">
        <v>10</v>
      </c>
      <c r="J2" s="23"/>
      <c r="K2" s="23"/>
      <c r="L2" s="23"/>
      <c r="M2" s="23"/>
      <c r="N2" s="24" t="s">
        <v>11</v>
      </c>
      <c r="O2" s="24"/>
      <c r="P2" s="24"/>
      <c r="Q2" s="24"/>
      <c r="R2" s="24"/>
      <c r="S2" s="26" t="s">
        <v>344</v>
      </c>
      <c r="T2" s="27"/>
      <c r="U2" s="27"/>
      <c r="V2" s="28"/>
      <c r="W2" s="23" t="s">
        <v>3</v>
      </c>
      <c r="X2" s="23"/>
      <c r="Y2" s="23"/>
      <c r="Z2" s="24" t="s">
        <v>4</v>
      </c>
      <c r="AA2" s="24"/>
      <c r="AB2" s="24"/>
      <c r="AC2" s="23" t="s">
        <v>3</v>
      </c>
      <c r="AD2" s="23"/>
      <c r="AE2" s="23"/>
      <c r="AF2" s="24" t="s">
        <v>4</v>
      </c>
      <c r="AG2" s="24"/>
      <c r="AH2" s="24"/>
    </row>
    <row r="3" spans="1:34" x14ac:dyDescent="0.35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4" t="s">
        <v>10</v>
      </c>
      <c r="G3" s="4" t="s">
        <v>11</v>
      </c>
      <c r="H3" s="4" t="s">
        <v>12</v>
      </c>
      <c r="I3" s="5" t="s">
        <v>346</v>
      </c>
      <c r="J3" s="5" t="s">
        <v>2</v>
      </c>
      <c r="K3" s="5" t="s">
        <v>341</v>
      </c>
      <c r="L3" s="5" t="s">
        <v>349</v>
      </c>
      <c r="M3" s="5" t="s">
        <v>347</v>
      </c>
      <c r="N3" s="6" t="s">
        <v>346</v>
      </c>
      <c r="O3" s="6" t="s">
        <v>2</v>
      </c>
      <c r="P3" s="6" t="s">
        <v>341</v>
      </c>
      <c r="Q3" s="6" t="s">
        <v>349</v>
      </c>
      <c r="R3" s="6" t="s">
        <v>347</v>
      </c>
      <c r="S3" s="7" t="s">
        <v>350</v>
      </c>
      <c r="T3" s="7" t="s">
        <v>2</v>
      </c>
      <c r="U3" s="7" t="s">
        <v>341</v>
      </c>
      <c r="V3" s="7" t="s">
        <v>342</v>
      </c>
      <c r="W3" s="5" t="s">
        <v>10</v>
      </c>
      <c r="X3" s="5" t="s">
        <v>11</v>
      </c>
      <c r="Y3" s="5" t="s">
        <v>12</v>
      </c>
      <c r="Z3" s="6" t="s">
        <v>10</v>
      </c>
      <c r="AA3" s="6" t="s">
        <v>11</v>
      </c>
      <c r="AB3" s="6" t="s">
        <v>12</v>
      </c>
      <c r="AC3" s="5" t="s">
        <v>10</v>
      </c>
      <c r="AD3" s="5" t="s">
        <v>11</v>
      </c>
      <c r="AE3" s="5" t="s">
        <v>12</v>
      </c>
      <c r="AF3" s="6" t="s">
        <v>10</v>
      </c>
      <c r="AG3" s="6" t="s">
        <v>11</v>
      </c>
      <c r="AH3" s="6" t="s">
        <v>12</v>
      </c>
    </row>
    <row r="4" spans="1:34" x14ac:dyDescent="0.35">
      <c r="A4" s="8">
        <v>1</v>
      </c>
      <c r="B4" s="1" t="s">
        <v>59</v>
      </c>
      <c r="C4" s="1" t="s">
        <v>60</v>
      </c>
      <c r="D4" s="1" t="s">
        <v>61</v>
      </c>
      <c r="E4" s="1" t="s">
        <v>34</v>
      </c>
      <c r="F4" s="9">
        <v>1629</v>
      </c>
      <c r="G4" s="9">
        <v>161</v>
      </c>
      <c r="H4" s="10">
        <f>F4+G4</f>
        <v>1790</v>
      </c>
      <c r="I4" s="17">
        <v>612</v>
      </c>
      <c r="J4" s="17">
        <v>68</v>
      </c>
      <c r="K4" s="17">
        <v>101</v>
      </c>
      <c r="L4" s="17">
        <f>I4+J4</f>
        <v>680</v>
      </c>
      <c r="M4" s="18">
        <f>K4-J4</f>
        <v>33</v>
      </c>
      <c r="N4" s="19">
        <v>17</v>
      </c>
      <c r="O4" s="19">
        <v>33</v>
      </c>
      <c r="P4" s="19">
        <v>24</v>
      </c>
      <c r="Q4" s="19">
        <f>N4+O4</f>
        <v>50</v>
      </c>
      <c r="R4" s="20">
        <f>P4-O4</f>
        <v>-9</v>
      </c>
      <c r="S4" s="21">
        <f>L4+Q4</f>
        <v>730</v>
      </c>
      <c r="T4" s="21">
        <f>J4+O4</f>
        <v>101</v>
      </c>
      <c r="U4" s="21">
        <f>K4+P4</f>
        <v>125</v>
      </c>
      <c r="V4" s="21">
        <f>U4-S4</f>
        <v>-605</v>
      </c>
      <c r="W4" s="11">
        <f>I4+J4+K4</f>
        <v>781</v>
      </c>
      <c r="X4" s="11">
        <f>N4+O4+P4</f>
        <v>74</v>
      </c>
      <c r="Y4" s="12">
        <f>W4+X4</f>
        <v>855</v>
      </c>
      <c r="Z4" s="13">
        <f>I4+K4</f>
        <v>713</v>
      </c>
      <c r="AA4" s="13">
        <f>N4+P4</f>
        <v>41</v>
      </c>
      <c r="AB4" s="14">
        <f>Z4+AA4</f>
        <v>754</v>
      </c>
      <c r="AC4" s="35">
        <f>W4/F4</f>
        <v>0.47943523634131369</v>
      </c>
      <c r="AD4" s="35">
        <f>X4/G4</f>
        <v>0.45962732919254656</v>
      </c>
      <c r="AE4" s="15">
        <f>Y4/H4</f>
        <v>0.47765363128491622</v>
      </c>
      <c r="AF4" s="36">
        <f>Z4/F4</f>
        <v>0.43769183548189072</v>
      </c>
      <c r="AG4" s="36">
        <f>AA4/G4</f>
        <v>0.25465838509316768</v>
      </c>
      <c r="AH4" s="15">
        <f>AB4/H4</f>
        <v>0.42122905027932961</v>
      </c>
    </row>
    <row r="5" spans="1:34" x14ac:dyDescent="0.35">
      <c r="A5" s="8">
        <v>2</v>
      </c>
      <c r="B5" s="1" t="s">
        <v>69</v>
      </c>
      <c r="C5" s="1" t="s">
        <v>70</v>
      </c>
      <c r="D5" s="1" t="s">
        <v>61</v>
      </c>
      <c r="E5" s="1" t="s">
        <v>51</v>
      </c>
      <c r="F5" s="9">
        <v>1882</v>
      </c>
      <c r="G5" s="9">
        <v>327</v>
      </c>
      <c r="H5" s="10">
        <f>F5+G5</f>
        <v>2209</v>
      </c>
      <c r="I5" s="17">
        <v>965</v>
      </c>
      <c r="J5" s="17">
        <v>280</v>
      </c>
      <c r="K5" s="17">
        <v>180</v>
      </c>
      <c r="L5" s="17">
        <f>I5+J5</f>
        <v>1245</v>
      </c>
      <c r="M5" s="18">
        <f>K5-J5</f>
        <v>-100</v>
      </c>
      <c r="N5" s="19">
        <v>29</v>
      </c>
      <c r="O5" s="19">
        <v>79</v>
      </c>
      <c r="P5" s="19">
        <v>85</v>
      </c>
      <c r="Q5" s="19">
        <f>N5+O5</f>
        <v>108</v>
      </c>
      <c r="R5" s="20">
        <f>P5-O5</f>
        <v>6</v>
      </c>
      <c r="S5" s="21">
        <f>L5+Q5</f>
        <v>1353</v>
      </c>
      <c r="T5" s="21">
        <f>J5+O5</f>
        <v>359</v>
      </c>
      <c r="U5" s="21">
        <f>K5+P5</f>
        <v>265</v>
      </c>
      <c r="V5" s="21">
        <f>U5-S5</f>
        <v>-1088</v>
      </c>
      <c r="W5" s="11">
        <f>I5+J5+K5</f>
        <v>1425</v>
      </c>
      <c r="X5" s="11">
        <f>N5+O5+P5</f>
        <v>193</v>
      </c>
      <c r="Y5" s="12">
        <f>W5+X5</f>
        <v>1618</v>
      </c>
      <c r="Z5" s="13">
        <f>I5+K5</f>
        <v>1145</v>
      </c>
      <c r="AA5" s="13">
        <f>N5+P5</f>
        <v>114</v>
      </c>
      <c r="AB5" s="14">
        <f>Z5+AA5</f>
        <v>1259</v>
      </c>
      <c r="AC5" s="35">
        <f>W5/F5</f>
        <v>0.75717321997874598</v>
      </c>
      <c r="AD5" s="35">
        <f>X5/G5</f>
        <v>0.59021406727828751</v>
      </c>
      <c r="AE5" s="15">
        <f>Y5/H5</f>
        <v>0.73245812584880032</v>
      </c>
      <c r="AF5" s="36">
        <f>Z5/F5</f>
        <v>0.60839532412327313</v>
      </c>
      <c r="AG5" s="36">
        <f>AA5/G5</f>
        <v>0.34862385321100919</v>
      </c>
      <c r="AH5" s="15">
        <f>AB5/H5</f>
        <v>0.5699411498415573</v>
      </c>
    </row>
    <row r="6" spans="1:34" x14ac:dyDescent="0.35">
      <c r="A6" s="8">
        <v>3</v>
      </c>
      <c r="B6" s="1" t="s">
        <v>83</v>
      </c>
      <c r="C6" s="1" t="s">
        <v>84</v>
      </c>
      <c r="D6" s="1" t="s">
        <v>61</v>
      </c>
      <c r="E6" s="1" t="s">
        <v>85</v>
      </c>
      <c r="F6" s="9">
        <v>2078</v>
      </c>
      <c r="G6" s="9">
        <v>235</v>
      </c>
      <c r="H6" s="10">
        <f>F6+G6</f>
        <v>2313</v>
      </c>
      <c r="I6" s="17">
        <v>780</v>
      </c>
      <c r="J6" s="17">
        <v>222</v>
      </c>
      <c r="K6" s="17">
        <v>165</v>
      </c>
      <c r="L6" s="17">
        <f>I6+J6</f>
        <v>1002</v>
      </c>
      <c r="M6" s="18">
        <f>K6-J6</f>
        <v>-57</v>
      </c>
      <c r="N6" s="19">
        <v>30</v>
      </c>
      <c r="O6" s="19">
        <v>81</v>
      </c>
      <c r="P6" s="19">
        <v>51</v>
      </c>
      <c r="Q6" s="19">
        <f>N6+O6</f>
        <v>111</v>
      </c>
      <c r="R6" s="20">
        <f>P6-O6</f>
        <v>-30</v>
      </c>
      <c r="S6" s="21">
        <f>L6+Q6</f>
        <v>1113</v>
      </c>
      <c r="T6" s="21">
        <f>J6+O6</f>
        <v>303</v>
      </c>
      <c r="U6" s="21">
        <f>K6+P6</f>
        <v>216</v>
      </c>
      <c r="V6" s="21">
        <f>U6-S6</f>
        <v>-897</v>
      </c>
      <c r="W6" s="11">
        <f>I6+J6+K6</f>
        <v>1167</v>
      </c>
      <c r="X6" s="11">
        <f>N6+O6+P6</f>
        <v>162</v>
      </c>
      <c r="Y6" s="12">
        <f>W6+X6</f>
        <v>1329</v>
      </c>
      <c r="Z6" s="13">
        <f>I6+K6</f>
        <v>945</v>
      </c>
      <c r="AA6" s="13">
        <f>N6+P6</f>
        <v>81</v>
      </c>
      <c r="AB6" s="14">
        <f>Z6+AA6</f>
        <v>1026</v>
      </c>
      <c r="AC6" s="35">
        <f>W6/F6</f>
        <v>0.56159769008662175</v>
      </c>
      <c r="AD6" s="35">
        <f>X6/G6</f>
        <v>0.68936170212765957</v>
      </c>
      <c r="AE6" s="15">
        <f>Y6/H6</f>
        <v>0.57457846952010372</v>
      </c>
      <c r="AF6" s="36">
        <f>Z6/F6</f>
        <v>0.45476419634263715</v>
      </c>
      <c r="AG6" s="36">
        <f>AA6/G6</f>
        <v>0.34468085106382979</v>
      </c>
      <c r="AH6" s="15">
        <f>AB6/H6</f>
        <v>0.44357976653696496</v>
      </c>
    </row>
    <row r="7" spans="1:34" x14ac:dyDescent="0.35">
      <c r="A7" s="8">
        <v>4</v>
      </c>
      <c r="B7" s="1" t="s">
        <v>106</v>
      </c>
      <c r="C7" s="1" t="s">
        <v>107</v>
      </c>
      <c r="D7" s="1" t="s">
        <v>61</v>
      </c>
      <c r="E7" s="1" t="s">
        <v>16</v>
      </c>
      <c r="F7" s="9">
        <v>1907</v>
      </c>
      <c r="G7" s="9">
        <v>384</v>
      </c>
      <c r="H7" s="10">
        <f>F7+G7</f>
        <v>2291</v>
      </c>
      <c r="I7" s="17">
        <v>716</v>
      </c>
      <c r="J7" s="17">
        <v>241</v>
      </c>
      <c r="K7" s="17">
        <v>166</v>
      </c>
      <c r="L7" s="17">
        <f>I7+J7</f>
        <v>957</v>
      </c>
      <c r="M7" s="18">
        <f>K7-J7</f>
        <v>-75</v>
      </c>
      <c r="N7" s="19">
        <v>32</v>
      </c>
      <c r="O7" s="19">
        <v>52</v>
      </c>
      <c r="P7" s="19">
        <v>60</v>
      </c>
      <c r="Q7" s="19">
        <f>N7+O7</f>
        <v>84</v>
      </c>
      <c r="R7" s="20">
        <f>P7-O7</f>
        <v>8</v>
      </c>
      <c r="S7" s="21">
        <f>L7+Q7</f>
        <v>1041</v>
      </c>
      <c r="T7" s="21">
        <f>J7+O7</f>
        <v>293</v>
      </c>
      <c r="U7" s="21">
        <f>K7+P7</f>
        <v>226</v>
      </c>
      <c r="V7" s="21">
        <f>U7-S7</f>
        <v>-815</v>
      </c>
      <c r="W7" s="11">
        <f>I7+J7+K7</f>
        <v>1123</v>
      </c>
      <c r="X7" s="11">
        <f>N7+O7+P7</f>
        <v>144</v>
      </c>
      <c r="Y7" s="12">
        <f>W7+X7</f>
        <v>1267</v>
      </c>
      <c r="Z7" s="13">
        <f>I7+K7</f>
        <v>882</v>
      </c>
      <c r="AA7" s="13">
        <f>N7+P7</f>
        <v>92</v>
      </c>
      <c r="AB7" s="14">
        <f>Z7+AA7</f>
        <v>974</v>
      </c>
      <c r="AC7" s="35">
        <f>W7/F7</f>
        <v>0.58888306240167798</v>
      </c>
      <c r="AD7" s="35">
        <f>X7/G7</f>
        <v>0.375</v>
      </c>
      <c r="AE7" s="15">
        <f>Y7/H7</f>
        <v>0.5530336097773898</v>
      </c>
      <c r="AF7" s="36">
        <f>Z7/F7</f>
        <v>0.4625065547981122</v>
      </c>
      <c r="AG7" s="36">
        <f>AA7/G7</f>
        <v>0.23958333333333334</v>
      </c>
      <c r="AH7" s="15">
        <f>AB7/H7</f>
        <v>0.42514185945002181</v>
      </c>
    </row>
    <row r="8" spans="1:34" x14ac:dyDescent="0.35">
      <c r="A8" s="8">
        <v>5</v>
      </c>
      <c r="B8" s="1" t="s">
        <v>112</v>
      </c>
      <c r="C8" s="1" t="s">
        <v>113</v>
      </c>
      <c r="D8" s="1" t="s">
        <v>61</v>
      </c>
      <c r="E8" s="1" t="s">
        <v>29</v>
      </c>
      <c r="F8" s="9">
        <v>1865</v>
      </c>
      <c r="G8" s="9">
        <v>155</v>
      </c>
      <c r="H8" s="10">
        <f>F8+G8</f>
        <v>2020</v>
      </c>
      <c r="I8" s="17">
        <v>628</v>
      </c>
      <c r="J8" s="17">
        <v>154</v>
      </c>
      <c r="K8" s="17">
        <v>150</v>
      </c>
      <c r="L8" s="17">
        <f>I8+J8</f>
        <v>782</v>
      </c>
      <c r="M8" s="18">
        <f>K8-J8</f>
        <v>-4</v>
      </c>
      <c r="N8" s="19">
        <v>29</v>
      </c>
      <c r="O8" s="19">
        <v>28</v>
      </c>
      <c r="P8" s="19">
        <v>60</v>
      </c>
      <c r="Q8" s="19">
        <f>N8+O8</f>
        <v>57</v>
      </c>
      <c r="R8" s="20">
        <f>P8-O8</f>
        <v>32</v>
      </c>
      <c r="S8" s="21">
        <f>L8+Q8</f>
        <v>839</v>
      </c>
      <c r="T8" s="21">
        <f>J8+O8</f>
        <v>182</v>
      </c>
      <c r="U8" s="21">
        <f>K8+P8</f>
        <v>210</v>
      </c>
      <c r="V8" s="21">
        <f>U8-S8</f>
        <v>-629</v>
      </c>
      <c r="W8" s="11">
        <f>I8+J8+K8</f>
        <v>932</v>
      </c>
      <c r="X8" s="11">
        <f>N8+O8+P8</f>
        <v>117</v>
      </c>
      <c r="Y8" s="12">
        <f>W8+X8</f>
        <v>1049</v>
      </c>
      <c r="Z8" s="13">
        <f>I8+K8</f>
        <v>778</v>
      </c>
      <c r="AA8" s="13">
        <f>N8+P8</f>
        <v>89</v>
      </c>
      <c r="AB8" s="14">
        <f>Z8+AA8</f>
        <v>867</v>
      </c>
      <c r="AC8" s="35">
        <f>W8/F8</f>
        <v>0.4997319034852547</v>
      </c>
      <c r="AD8" s="35">
        <f>X8/G8</f>
        <v>0.75483870967741939</v>
      </c>
      <c r="AE8" s="15">
        <f>Y8/H8</f>
        <v>0.51930693069306932</v>
      </c>
      <c r="AF8" s="36">
        <f>Z8/F8</f>
        <v>0.41715817694369972</v>
      </c>
      <c r="AG8" s="36">
        <f>AA8/G8</f>
        <v>0.5741935483870968</v>
      </c>
      <c r="AH8" s="15">
        <f>AB8/H8</f>
        <v>0.4292079207920792</v>
      </c>
    </row>
    <row r="9" spans="1:34" x14ac:dyDescent="0.35">
      <c r="A9" s="8">
        <v>6</v>
      </c>
      <c r="B9" s="1" t="s">
        <v>124</v>
      </c>
      <c r="C9" s="1" t="s">
        <v>125</v>
      </c>
      <c r="D9" s="1" t="s">
        <v>61</v>
      </c>
      <c r="E9" s="1" t="s">
        <v>51</v>
      </c>
      <c r="F9" s="9">
        <v>2079</v>
      </c>
      <c r="G9" s="9">
        <v>169</v>
      </c>
      <c r="H9" s="10">
        <f>F9+G9</f>
        <v>2248</v>
      </c>
      <c r="I9" s="17">
        <v>902</v>
      </c>
      <c r="J9" s="17">
        <v>310</v>
      </c>
      <c r="K9" s="17">
        <v>142</v>
      </c>
      <c r="L9" s="17">
        <f>I9+J9</f>
        <v>1212</v>
      </c>
      <c r="M9" s="18">
        <f>K9-J9</f>
        <v>-168</v>
      </c>
      <c r="N9" s="19">
        <v>10</v>
      </c>
      <c r="O9" s="19">
        <v>63</v>
      </c>
      <c r="P9" s="19">
        <v>42</v>
      </c>
      <c r="Q9" s="19">
        <f>N9+O9</f>
        <v>73</v>
      </c>
      <c r="R9" s="20">
        <f>P9-O9</f>
        <v>-21</v>
      </c>
      <c r="S9" s="21">
        <f>L9+Q9</f>
        <v>1285</v>
      </c>
      <c r="T9" s="21">
        <f>J9+O9</f>
        <v>373</v>
      </c>
      <c r="U9" s="21">
        <f>K9+P9</f>
        <v>184</v>
      </c>
      <c r="V9" s="21">
        <f>U9-S9</f>
        <v>-1101</v>
      </c>
      <c r="W9" s="11">
        <f>I9+J9+K9</f>
        <v>1354</v>
      </c>
      <c r="X9" s="11">
        <f>N9+O9+P9</f>
        <v>115</v>
      </c>
      <c r="Y9" s="12">
        <f>W9+X9</f>
        <v>1469</v>
      </c>
      <c r="Z9" s="13">
        <f>I9+K9</f>
        <v>1044</v>
      </c>
      <c r="AA9" s="13">
        <f>N9+P9</f>
        <v>52</v>
      </c>
      <c r="AB9" s="14">
        <f>Z9+AA9</f>
        <v>1096</v>
      </c>
      <c r="AC9" s="35">
        <f>W9/F9</f>
        <v>0.65127465127465123</v>
      </c>
      <c r="AD9" s="35">
        <f>X9/G9</f>
        <v>0.68047337278106512</v>
      </c>
      <c r="AE9" s="15">
        <f>Y9/H9</f>
        <v>0.65346975088967973</v>
      </c>
      <c r="AF9" s="36">
        <f>Z9/F9</f>
        <v>0.50216450216450215</v>
      </c>
      <c r="AG9" s="36">
        <f>AA9/G9</f>
        <v>0.30769230769230771</v>
      </c>
      <c r="AH9" s="15">
        <f>AB9/H9</f>
        <v>0.48754448398576511</v>
      </c>
    </row>
    <row r="10" spans="1:34" x14ac:dyDescent="0.35">
      <c r="A10" s="8">
        <v>7</v>
      </c>
      <c r="B10" s="1" t="s">
        <v>130</v>
      </c>
      <c r="C10" s="1" t="s">
        <v>131</v>
      </c>
      <c r="D10" s="1" t="s">
        <v>61</v>
      </c>
      <c r="E10" s="1" t="s">
        <v>16</v>
      </c>
      <c r="F10" s="9">
        <v>1691</v>
      </c>
      <c r="G10" s="9">
        <v>617</v>
      </c>
      <c r="H10" s="10">
        <f>F10+G10</f>
        <v>2308</v>
      </c>
      <c r="I10" s="17">
        <v>649</v>
      </c>
      <c r="J10" s="17">
        <v>229</v>
      </c>
      <c r="K10" s="17">
        <v>162</v>
      </c>
      <c r="L10" s="17">
        <f>I10+J10</f>
        <v>878</v>
      </c>
      <c r="M10" s="18">
        <f>K10-J10</f>
        <v>-67</v>
      </c>
      <c r="N10" s="19">
        <v>37</v>
      </c>
      <c r="O10" s="19">
        <v>77</v>
      </c>
      <c r="P10" s="19">
        <v>92</v>
      </c>
      <c r="Q10" s="19">
        <f>N10+O10</f>
        <v>114</v>
      </c>
      <c r="R10" s="20">
        <f>P10-O10</f>
        <v>15</v>
      </c>
      <c r="S10" s="21">
        <f>L10+Q10</f>
        <v>992</v>
      </c>
      <c r="T10" s="21">
        <f>J10+O10</f>
        <v>306</v>
      </c>
      <c r="U10" s="21">
        <f>K10+P10</f>
        <v>254</v>
      </c>
      <c r="V10" s="21">
        <f>U10-S10</f>
        <v>-738</v>
      </c>
      <c r="W10" s="11">
        <f>I10+J10+K10</f>
        <v>1040</v>
      </c>
      <c r="X10" s="11">
        <f>N10+O10+P10</f>
        <v>206</v>
      </c>
      <c r="Y10" s="12">
        <f>W10+X10</f>
        <v>1246</v>
      </c>
      <c r="Z10" s="13">
        <f>I10+K10</f>
        <v>811</v>
      </c>
      <c r="AA10" s="13">
        <f>N10+P10</f>
        <v>129</v>
      </c>
      <c r="AB10" s="14">
        <f>Z10+AA10</f>
        <v>940</v>
      </c>
      <c r="AC10" s="35">
        <f>W10/F10</f>
        <v>0.61502069781194557</v>
      </c>
      <c r="AD10" s="35">
        <f>X10/G10</f>
        <v>0.33387358184764993</v>
      </c>
      <c r="AE10" s="15">
        <f>Y10/H10</f>
        <v>0.53986135181975736</v>
      </c>
      <c r="AF10" s="36">
        <f>Z10/F10</f>
        <v>0.47959787108219987</v>
      </c>
      <c r="AG10" s="36">
        <f>AA10/G10</f>
        <v>0.20907617504051865</v>
      </c>
      <c r="AH10" s="15">
        <f>AB10/H10</f>
        <v>0.40727902946273831</v>
      </c>
    </row>
    <row r="11" spans="1:34" x14ac:dyDescent="0.35">
      <c r="A11" s="8">
        <v>8</v>
      </c>
      <c r="B11" s="1" t="s">
        <v>142</v>
      </c>
      <c r="C11" s="1" t="s">
        <v>143</v>
      </c>
      <c r="D11" s="1" t="s">
        <v>61</v>
      </c>
      <c r="E11" s="1" t="s">
        <v>93</v>
      </c>
      <c r="F11" s="9">
        <v>2170</v>
      </c>
      <c r="G11" s="9">
        <v>246</v>
      </c>
      <c r="H11" s="10">
        <f>F11+G11</f>
        <v>2416</v>
      </c>
      <c r="I11" s="17">
        <v>822</v>
      </c>
      <c r="J11" s="17">
        <v>237</v>
      </c>
      <c r="K11" s="17">
        <v>145</v>
      </c>
      <c r="L11" s="17">
        <f>I11+J11</f>
        <v>1059</v>
      </c>
      <c r="M11" s="18">
        <f>K11-J11</f>
        <v>-92</v>
      </c>
      <c r="N11" s="19">
        <v>25</v>
      </c>
      <c r="O11" s="19">
        <v>64</v>
      </c>
      <c r="P11" s="19">
        <v>45</v>
      </c>
      <c r="Q11" s="19">
        <f>N11+O11</f>
        <v>89</v>
      </c>
      <c r="R11" s="20">
        <f>P11-O11</f>
        <v>-19</v>
      </c>
      <c r="S11" s="21">
        <f>L11+Q11</f>
        <v>1148</v>
      </c>
      <c r="T11" s="21">
        <f>J11+O11</f>
        <v>301</v>
      </c>
      <c r="U11" s="21">
        <f>K11+P11</f>
        <v>190</v>
      </c>
      <c r="V11" s="21">
        <f>U11-S11</f>
        <v>-958</v>
      </c>
      <c r="W11" s="11">
        <f>I11+J11+K11</f>
        <v>1204</v>
      </c>
      <c r="X11" s="11">
        <f>N11+O11+P11</f>
        <v>134</v>
      </c>
      <c r="Y11" s="12">
        <f>W11+X11</f>
        <v>1338</v>
      </c>
      <c r="Z11" s="13">
        <f>I11+K11</f>
        <v>967</v>
      </c>
      <c r="AA11" s="13">
        <f>N11+P11</f>
        <v>70</v>
      </c>
      <c r="AB11" s="14">
        <f>Z11+AA11</f>
        <v>1037</v>
      </c>
      <c r="AC11" s="35">
        <f>W11/F11</f>
        <v>0.55483870967741933</v>
      </c>
      <c r="AD11" s="35">
        <f>X11/G11</f>
        <v>0.54471544715447151</v>
      </c>
      <c r="AE11" s="15">
        <f>Y11/H11</f>
        <v>0.55380794701986757</v>
      </c>
      <c r="AF11" s="36">
        <f>Z11/F11</f>
        <v>0.44562211981566818</v>
      </c>
      <c r="AG11" s="36">
        <f>AA11/G11</f>
        <v>0.28455284552845528</v>
      </c>
      <c r="AH11" s="15">
        <f>AB11/H11</f>
        <v>0.42922185430463577</v>
      </c>
    </row>
    <row r="12" spans="1:34" x14ac:dyDescent="0.35">
      <c r="A12" s="8">
        <v>9</v>
      </c>
      <c r="B12" s="1" t="s">
        <v>149</v>
      </c>
      <c r="C12" s="1" t="s">
        <v>150</v>
      </c>
      <c r="D12" s="1" t="s">
        <v>61</v>
      </c>
      <c r="E12" s="1" t="s">
        <v>48</v>
      </c>
      <c r="F12" s="9">
        <v>2275</v>
      </c>
      <c r="G12" s="9">
        <v>260</v>
      </c>
      <c r="H12" s="10">
        <f>F12+G12</f>
        <v>2535</v>
      </c>
      <c r="I12" s="17">
        <v>1004</v>
      </c>
      <c r="J12" s="17">
        <v>321</v>
      </c>
      <c r="K12" s="17">
        <v>183</v>
      </c>
      <c r="L12" s="17">
        <f>I12+J12</f>
        <v>1325</v>
      </c>
      <c r="M12" s="18">
        <f>K12-J12</f>
        <v>-138</v>
      </c>
      <c r="N12" s="19">
        <v>26</v>
      </c>
      <c r="O12" s="19">
        <v>54</v>
      </c>
      <c r="P12" s="19">
        <v>49</v>
      </c>
      <c r="Q12" s="19">
        <f>N12+O12</f>
        <v>80</v>
      </c>
      <c r="R12" s="20">
        <f>P12-O12</f>
        <v>-5</v>
      </c>
      <c r="S12" s="21">
        <f>L12+Q12</f>
        <v>1405</v>
      </c>
      <c r="T12" s="21">
        <f>J12+O12</f>
        <v>375</v>
      </c>
      <c r="U12" s="21">
        <f>K12+P12</f>
        <v>232</v>
      </c>
      <c r="V12" s="21">
        <f>U12-S12</f>
        <v>-1173</v>
      </c>
      <c r="W12" s="11">
        <f>I12+J12+K12</f>
        <v>1508</v>
      </c>
      <c r="X12" s="11">
        <f>N12+O12+P12</f>
        <v>129</v>
      </c>
      <c r="Y12" s="12">
        <f>W12+X12</f>
        <v>1637</v>
      </c>
      <c r="Z12" s="13">
        <f>I12+K12</f>
        <v>1187</v>
      </c>
      <c r="AA12" s="13">
        <f>N12+P12</f>
        <v>75</v>
      </c>
      <c r="AB12" s="14">
        <f>Z12+AA12</f>
        <v>1262</v>
      </c>
      <c r="AC12" s="35">
        <f>W12/F12</f>
        <v>0.66285714285714281</v>
      </c>
      <c r="AD12" s="35">
        <f>X12/G12</f>
        <v>0.49615384615384617</v>
      </c>
      <c r="AE12" s="15">
        <f>Y12/H12</f>
        <v>0.64575936883629192</v>
      </c>
      <c r="AF12" s="36">
        <f>Z12/F12</f>
        <v>0.5217582417582417</v>
      </c>
      <c r="AG12" s="36">
        <f>AA12/G12</f>
        <v>0.28846153846153844</v>
      </c>
      <c r="AH12" s="15">
        <f>AB12/H12</f>
        <v>0.49783037475345165</v>
      </c>
    </row>
    <row r="13" spans="1:34" x14ac:dyDescent="0.35">
      <c r="A13" s="8">
        <v>10</v>
      </c>
      <c r="B13" s="1" t="s">
        <v>151</v>
      </c>
      <c r="C13" s="1" t="s">
        <v>152</v>
      </c>
      <c r="D13" s="1" t="s">
        <v>61</v>
      </c>
      <c r="E13" s="1" t="s">
        <v>58</v>
      </c>
      <c r="F13" s="9">
        <v>1518</v>
      </c>
      <c r="G13" s="9">
        <v>229</v>
      </c>
      <c r="H13" s="10">
        <f>F13+G13</f>
        <v>1747</v>
      </c>
      <c r="I13" s="17">
        <v>744</v>
      </c>
      <c r="J13" s="17">
        <v>121</v>
      </c>
      <c r="K13" s="17">
        <v>161</v>
      </c>
      <c r="L13" s="17">
        <f>I13+J13</f>
        <v>865</v>
      </c>
      <c r="M13" s="18">
        <f>K13-J13</f>
        <v>40</v>
      </c>
      <c r="N13" s="19">
        <v>34</v>
      </c>
      <c r="O13" s="19">
        <v>49</v>
      </c>
      <c r="P13" s="19">
        <v>59</v>
      </c>
      <c r="Q13" s="19">
        <f>N13+O13</f>
        <v>83</v>
      </c>
      <c r="R13" s="20">
        <f>P13-O13</f>
        <v>10</v>
      </c>
      <c r="S13" s="21">
        <f>L13+Q13</f>
        <v>948</v>
      </c>
      <c r="T13" s="21">
        <f>J13+O13</f>
        <v>170</v>
      </c>
      <c r="U13" s="21">
        <f>K13+P13</f>
        <v>220</v>
      </c>
      <c r="V13" s="21">
        <f>U13-S13</f>
        <v>-728</v>
      </c>
      <c r="W13" s="11">
        <f>I13+J13+K13</f>
        <v>1026</v>
      </c>
      <c r="X13" s="11">
        <f>N13+O13+P13</f>
        <v>142</v>
      </c>
      <c r="Y13" s="12">
        <f>W13+X13</f>
        <v>1168</v>
      </c>
      <c r="Z13" s="13">
        <f>I13+K13</f>
        <v>905</v>
      </c>
      <c r="AA13" s="13">
        <f>N13+P13</f>
        <v>93</v>
      </c>
      <c r="AB13" s="14">
        <f>Z13+AA13</f>
        <v>998</v>
      </c>
      <c r="AC13" s="35">
        <f>W13/F13</f>
        <v>0.67588932806324109</v>
      </c>
      <c r="AD13" s="35">
        <f>X13/G13</f>
        <v>0.62008733624454149</v>
      </c>
      <c r="AE13" s="15">
        <f>Y13/H13</f>
        <v>0.66857469948483117</v>
      </c>
      <c r="AF13" s="36">
        <f>Z13/F13</f>
        <v>0.59617918313570484</v>
      </c>
      <c r="AG13" s="36">
        <f>AA13/G13</f>
        <v>0.40611353711790393</v>
      </c>
      <c r="AH13" s="15">
        <f>AB13/H13</f>
        <v>0.57126502575844307</v>
      </c>
    </row>
    <row r="14" spans="1:34" x14ac:dyDescent="0.35">
      <c r="A14" s="8">
        <v>11</v>
      </c>
      <c r="B14" s="1" t="s">
        <v>155</v>
      </c>
      <c r="C14" s="1" t="s">
        <v>156</v>
      </c>
      <c r="D14" s="1" t="s">
        <v>61</v>
      </c>
      <c r="E14" s="1" t="s">
        <v>157</v>
      </c>
      <c r="F14" s="9">
        <v>1763</v>
      </c>
      <c r="G14" s="9">
        <v>212</v>
      </c>
      <c r="H14" s="10">
        <f>F14+G14</f>
        <v>1975</v>
      </c>
      <c r="I14" s="17">
        <v>693</v>
      </c>
      <c r="J14" s="17">
        <v>231</v>
      </c>
      <c r="K14" s="17">
        <v>167</v>
      </c>
      <c r="L14" s="17">
        <f>I14+J14</f>
        <v>924</v>
      </c>
      <c r="M14" s="18">
        <f>K14-J14</f>
        <v>-64</v>
      </c>
      <c r="N14" s="19">
        <v>18</v>
      </c>
      <c r="O14" s="19">
        <v>66</v>
      </c>
      <c r="P14" s="19">
        <v>39</v>
      </c>
      <c r="Q14" s="19">
        <f>N14+O14</f>
        <v>84</v>
      </c>
      <c r="R14" s="20">
        <f>P14-O14</f>
        <v>-27</v>
      </c>
      <c r="S14" s="21">
        <f>L14+Q14</f>
        <v>1008</v>
      </c>
      <c r="T14" s="21">
        <f>J14+O14</f>
        <v>297</v>
      </c>
      <c r="U14" s="21">
        <f>K14+P14</f>
        <v>206</v>
      </c>
      <c r="V14" s="21">
        <f>U14-S14</f>
        <v>-802</v>
      </c>
      <c r="W14" s="11">
        <f>I14+J14+K14</f>
        <v>1091</v>
      </c>
      <c r="X14" s="11">
        <f>N14+O14+P14</f>
        <v>123</v>
      </c>
      <c r="Y14" s="12">
        <f>W14+X14</f>
        <v>1214</v>
      </c>
      <c r="Z14" s="13">
        <f>I14+K14</f>
        <v>860</v>
      </c>
      <c r="AA14" s="13">
        <f>N14+P14</f>
        <v>57</v>
      </c>
      <c r="AB14" s="14">
        <f>Z14+AA14</f>
        <v>917</v>
      </c>
      <c r="AC14" s="35">
        <f>W14/F14</f>
        <v>0.61883153715258088</v>
      </c>
      <c r="AD14" s="35">
        <f>X14/G14</f>
        <v>0.58018867924528306</v>
      </c>
      <c r="AE14" s="15">
        <f>Y14/H14</f>
        <v>0.61468354430379746</v>
      </c>
      <c r="AF14" s="36">
        <f>Z14/F14</f>
        <v>0.48780487804878048</v>
      </c>
      <c r="AG14" s="36">
        <f>AA14/G14</f>
        <v>0.26886792452830188</v>
      </c>
      <c r="AH14" s="15">
        <f>AB14/H14</f>
        <v>0.46430379746835443</v>
      </c>
    </row>
    <row r="15" spans="1:34" x14ac:dyDescent="0.35">
      <c r="A15" s="8">
        <v>12</v>
      </c>
      <c r="B15" s="1" t="s">
        <v>162</v>
      </c>
      <c r="C15" s="1" t="s">
        <v>163</v>
      </c>
      <c r="D15" s="1" t="s">
        <v>61</v>
      </c>
      <c r="E15" s="1" t="s">
        <v>48</v>
      </c>
      <c r="F15" s="9">
        <v>1765</v>
      </c>
      <c r="G15" s="9">
        <v>305</v>
      </c>
      <c r="H15" s="10">
        <f>F15+G15</f>
        <v>2070</v>
      </c>
      <c r="I15" s="17">
        <v>585</v>
      </c>
      <c r="J15" s="17">
        <v>246</v>
      </c>
      <c r="K15" s="17">
        <v>93</v>
      </c>
      <c r="L15" s="17">
        <f>I15+J15</f>
        <v>831</v>
      </c>
      <c r="M15" s="18">
        <f>K15-J15</f>
        <v>-153</v>
      </c>
      <c r="N15" s="19">
        <v>16</v>
      </c>
      <c r="O15" s="19">
        <v>61</v>
      </c>
      <c r="P15" s="19">
        <v>44</v>
      </c>
      <c r="Q15" s="19">
        <f>N15+O15</f>
        <v>77</v>
      </c>
      <c r="R15" s="20">
        <f>P15-O15</f>
        <v>-17</v>
      </c>
      <c r="S15" s="21">
        <f>L15+Q15</f>
        <v>908</v>
      </c>
      <c r="T15" s="21">
        <f>J15+O15</f>
        <v>307</v>
      </c>
      <c r="U15" s="21">
        <f>K15+P15</f>
        <v>137</v>
      </c>
      <c r="V15" s="21">
        <f>U15-S15</f>
        <v>-771</v>
      </c>
      <c r="W15" s="11">
        <f>I15+J15+K15</f>
        <v>924</v>
      </c>
      <c r="X15" s="11">
        <f>N15+O15+P15</f>
        <v>121</v>
      </c>
      <c r="Y15" s="12">
        <f>W15+X15</f>
        <v>1045</v>
      </c>
      <c r="Z15" s="13">
        <f>I15+K15</f>
        <v>678</v>
      </c>
      <c r="AA15" s="13">
        <f>N15+P15</f>
        <v>60</v>
      </c>
      <c r="AB15" s="14">
        <f>Z15+AA15</f>
        <v>738</v>
      </c>
      <c r="AC15" s="35">
        <f>W15/F15</f>
        <v>0.52351274787535407</v>
      </c>
      <c r="AD15" s="35">
        <f>X15/G15</f>
        <v>0.39672131147540984</v>
      </c>
      <c r="AE15" s="15">
        <f>Y15/H15</f>
        <v>0.50483091787439616</v>
      </c>
      <c r="AF15" s="36">
        <f>Z15/F15</f>
        <v>0.38413597733711047</v>
      </c>
      <c r="AG15" s="36">
        <f>AA15/G15</f>
        <v>0.19672131147540983</v>
      </c>
      <c r="AH15" s="15">
        <f>AB15/H15</f>
        <v>0.35652173913043478</v>
      </c>
    </row>
    <row r="16" spans="1:34" x14ac:dyDescent="0.35">
      <c r="A16" s="8">
        <v>13</v>
      </c>
      <c r="B16" s="1" t="s">
        <v>166</v>
      </c>
      <c r="C16" s="1" t="s">
        <v>167</v>
      </c>
      <c r="D16" s="1" t="s">
        <v>61</v>
      </c>
      <c r="E16" s="1" t="s">
        <v>58</v>
      </c>
      <c r="F16" s="9">
        <v>1541</v>
      </c>
      <c r="G16" s="9">
        <v>279</v>
      </c>
      <c r="H16" s="10">
        <f>F16+G16</f>
        <v>1820</v>
      </c>
      <c r="I16" s="17">
        <v>908</v>
      </c>
      <c r="J16" s="17">
        <v>191</v>
      </c>
      <c r="K16" s="17">
        <v>104</v>
      </c>
      <c r="L16" s="17">
        <f>I16+J16</f>
        <v>1099</v>
      </c>
      <c r="M16" s="18">
        <f>K16-J16</f>
        <v>-87</v>
      </c>
      <c r="N16" s="19">
        <v>59</v>
      </c>
      <c r="O16" s="19">
        <v>74</v>
      </c>
      <c r="P16" s="19">
        <v>63</v>
      </c>
      <c r="Q16" s="19">
        <f>N16+O16</f>
        <v>133</v>
      </c>
      <c r="R16" s="20">
        <f>P16-O16</f>
        <v>-11</v>
      </c>
      <c r="S16" s="21">
        <f>L16+Q16</f>
        <v>1232</v>
      </c>
      <c r="T16" s="21">
        <f>J16+O16</f>
        <v>265</v>
      </c>
      <c r="U16" s="21">
        <f>K16+P16</f>
        <v>167</v>
      </c>
      <c r="V16" s="21">
        <f>U16-S16</f>
        <v>-1065</v>
      </c>
      <c r="W16" s="11">
        <f>I16+J16+K16</f>
        <v>1203</v>
      </c>
      <c r="X16" s="11">
        <f>N16+O16+P16</f>
        <v>196</v>
      </c>
      <c r="Y16" s="12">
        <f>W16+X16</f>
        <v>1399</v>
      </c>
      <c r="Z16" s="13">
        <f>I16+K16</f>
        <v>1012</v>
      </c>
      <c r="AA16" s="13">
        <f>N16+P16</f>
        <v>122</v>
      </c>
      <c r="AB16" s="14">
        <f>Z16+AA16</f>
        <v>1134</v>
      </c>
      <c r="AC16" s="35">
        <f>W16/F16</f>
        <v>0.78066190785204415</v>
      </c>
      <c r="AD16" s="35">
        <f>X16/G16</f>
        <v>0.70250896057347667</v>
      </c>
      <c r="AE16" s="15">
        <f>Y16/H16</f>
        <v>0.76868131868131873</v>
      </c>
      <c r="AF16" s="36">
        <f>Z16/F16</f>
        <v>0.65671641791044777</v>
      </c>
      <c r="AG16" s="36">
        <f>AA16/G16</f>
        <v>0.43727598566308246</v>
      </c>
      <c r="AH16" s="15">
        <f>AB16/H16</f>
        <v>0.62307692307692308</v>
      </c>
    </row>
    <row r="17" spans="1:34" x14ac:dyDescent="0.35">
      <c r="A17" s="8">
        <v>14</v>
      </c>
      <c r="B17" s="1" t="s">
        <v>178</v>
      </c>
      <c r="C17" s="1" t="s">
        <v>179</v>
      </c>
      <c r="D17" s="1" t="s">
        <v>61</v>
      </c>
      <c r="E17" s="1" t="s">
        <v>88</v>
      </c>
      <c r="F17" s="9">
        <v>1133</v>
      </c>
      <c r="G17" s="9">
        <v>131</v>
      </c>
      <c r="H17" s="10">
        <f>F17+G17</f>
        <v>1264</v>
      </c>
      <c r="I17" s="17">
        <v>358</v>
      </c>
      <c r="J17" s="17">
        <v>100</v>
      </c>
      <c r="K17" s="17">
        <v>55</v>
      </c>
      <c r="L17" s="17">
        <f>I17+J17</f>
        <v>458</v>
      </c>
      <c r="M17" s="18">
        <f>K17-J17</f>
        <v>-45</v>
      </c>
      <c r="N17" s="19">
        <v>9</v>
      </c>
      <c r="O17" s="19">
        <v>28</v>
      </c>
      <c r="P17" s="19">
        <v>9</v>
      </c>
      <c r="Q17" s="19">
        <f>N17+O17</f>
        <v>37</v>
      </c>
      <c r="R17" s="20">
        <f>P17-O17</f>
        <v>-19</v>
      </c>
      <c r="S17" s="21">
        <f>L17+Q17</f>
        <v>495</v>
      </c>
      <c r="T17" s="21">
        <f>J17+O17</f>
        <v>128</v>
      </c>
      <c r="U17" s="21">
        <f>K17+P17</f>
        <v>64</v>
      </c>
      <c r="V17" s="21">
        <f>U17-S17</f>
        <v>-431</v>
      </c>
      <c r="W17" s="11">
        <f>I17+J17+K17</f>
        <v>513</v>
      </c>
      <c r="X17" s="11">
        <f>N17+O17+P17</f>
        <v>46</v>
      </c>
      <c r="Y17" s="12">
        <f>W17+X17</f>
        <v>559</v>
      </c>
      <c r="Z17" s="13">
        <f>I17+K17</f>
        <v>413</v>
      </c>
      <c r="AA17" s="13">
        <f>N17+P17</f>
        <v>18</v>
      </c>
      <c r="AB17" s="14">
        <f>Z17+AA17</f>
        <v>431</v>
      </c>
      <c r="AC17" s="35">
        <f>W17/F17</f>
        <v>0.45278022947925861</v>
      </c>
      <c r="AD17" s="35">
        <f>X17/G17</f>
        <v>0.35114503816793891</v>
      </c>
      <c r="AE17" s="15">
        <f>Y17/H17</f>
        <v>0.442246835443038</v>
      </c>
      <c r="AF17" s="36">
        <f>Z17/F17</f>
        <v>0.36451897616946161</v>
      </c>
      <c r="AG17" s="36">
        <f>AA17/G17</f>
        <v>0.13740458015267176</v>
      </c>
      <c r="AH17" s="15">
        <f>AB17/H17</f>
        <v>0.34098101265822783</v>
      </c>
    </row>
    <row r="18" spans="1:34" x14ac:dyDescent="0.35">
      <c r="A18" s="8">
        <v>15</v>
      </c>
      <c r="B18" s="1" t="s">
        <v>220</v>
      </c>
      <c r="C18" s="1" t="s">
        <v>221</v>
      </c>
      <c r="D18" s="1" t="s">
        <v>61</v>
      </c>
      <c r="E18" s="1" t="s">
        <v>96</v>
      </c>
      <c r="F18" s="9">
        <v>1577</v>
      </c>
      <c r="G18" s="9">
        <v>169</v>
      </c>
      <c r="H18" s="10">
        <f>F18+G18</f>
        <v>1746</v>
      </c>
      <c r="I18" s="17">
        <v>677</v>
      </c>
      <c r="J18" s="17">
        <v>142</v>
      </c>
      <c r="K18" s="17">
        <v>130</v>
      </c>
      <c r="L18" s="17">
        <f>I18+J18</f>
        <v>819</v>
      </c>
      <c r="M18" s="18">
        <f>K18-J18</f>
        <v>-12</v>
      </c>
      <c r="N18" s="19">
        <v>9</v>
      </c>
      <c r="O18" s="19">
        <v>45</v>
      </c>
      <c r="P18" s="19">
        <v>22</v>
      </c>
      <c r="Q18" s="19">
        <f>N18+O18</f>
        <v>54</v>
      </c>
      <c r="R18" s="20">
        <f>P18-O18</f>
        <v>-23</v>
      </c>
      <c r="S18" s="21">
        <f>L18+Q18</f>
        <v>873</v>
      </c>
      <c r="T18" s="21">
        <f>J18+O18</f>
        <v>187</v>
      </c>
      <c r="U18" s="21">
        <f>K18+P18</f>
        <v>152</v>
      </c>
      <c r="V18" s="21">
        <f>U18-S18</f>
        <v>-721</v>
      </c>
      <c r="W18" s="11">
        <f>I18+J18+K18</f>
        <v>949</v>
      </c>
      <c r="X18" s="11">
        <f>N18+O18+P18</f>
        <v>76</v>
      </c>
      <c r="Y18" s="12">
        <f>W18+X18</f>
        <v>1025</v>
      </c>
      <c r="Z18" s="13">
        <f>I18+K18</f>
        <v>807</v>
      </c>
      <c r="AA18" s="13">
        <f>N18+P18</f>
        <v>31</v>
      </c>
      <c r="AB18" s="14">
        <f>Z18+AA18</f>
        <v>838</v>
      </c>
      <c r="AC18" s="35">
        <f>W18/F18</f>
        <v>0.60177552314521243</v>
      </c>
      <c r="AD18" s="35">
        <f>X18/G18</f>
        <v>0.44970414201183434</v>
      </c>
      <c r="AE18" s="15">
        <f>Y18/H18</f>
        <v>0.58705612829324172</v>
      </c>
      <c r="AF18" s="36">
        <f>Z18/F18</f>
        <v>0.51173113506658208</v>
      </c>
      <c r="AG18" s="36">
        <f>AA18/G18</f>
        <v>0.18343195266272189</v>
      </c>
      <c r="AH18" s="15">
        <f>AB18/H18</f>
        <v>0.47995418098510884</v>
      </c>
    </row>
    <row r="19" spans="1:34" x14ac:dyDescent="0.35">
      <c r="A19" s="8">
        <v>16</v>
      </c>
      <c r="B19" s="1" t="s">
        <v>228</v>
      </c>
      <c r="C19" s="1" t="s">
        <v>229</v>
      </c>
      <c r="D19" s="1" t="s">
        <v>61</v>
      </c>
      <c r="E19" s="1" t="s">
        <v>230</v>
      </c>
      <c r="F19" s="9">
        <v>1658</v>
      </c>
      <c r="G19" s="9">
        <v>170</v>
      </c>
      <c r="H19" s="10">
        <f>F19+G19</f>
        <v>1828</v>
      </c>
      <c r="I19" s="17">
        <v>620</v>
      </c>
      <c r="J19" s="17">
        <v>197</v>
      </c>
      <c r="K19" s="17">
        <v>207</v>
      </c>
      <c r="L19" s="17">
        <f>I19+J19</f>
        <v>817</v>
      </c>
      <c r="M19" s="18">
        <f>K19-J19</f>
        <v>10</v>
      </c>
      <c r="N19" s="19">
        <v>8</v>
      </c>
      <c r="O19" s="19">
        <v>26</v>
      </c>
      <c r="P19" s="19">
        <v>35</v>
      </c>
      <c r="Q19" s="19">
        <f>N19+O19</f>
        <v>34</v>
      </c>
      <c r="R19" s="20">
        <f>P19-O19</f>
        <v>9</v>
      </c>
      <c r="S19" s="21">
        <f>L19+Q19</f>
        <v>851</v>
      </c>
      <c r="T19" s="21">
        <f>J19+O19</f>
        <v>223</v>
      </c>
      <c r="U19" s="21">
        <f>K19+P19</f>
        <v>242</v>
      </c>
      <c r="V19" s="21">
        <f>U19-S19</f>
        <v>-609</v>
      </c>
      <c r="W19" s="11">
        <f>I19+J19+K19</f>
        <v>1024</v>
      </c>
      <c r="X19" s="11">
        <f>N19+O19+P19</f>
        <v>69</v>
      </c>
      <c r="Y19" s="12">
        <f>W19+X19</f>
        <v>1093</v>
      </c>
      <c r="Z19" s="13">
        <f>I19+K19</f>
        <v>827</v>
      </c>
      <c r="AA19" s="13">
        <f>N19+P19</f>
        <v>43</v>
      </c>
      <c r="AB19" s="14">
        <f>Z19+AA19</f>
        <v>870</v>
      </c>
      <c r="AC19" s="35">
        <f>W19/F19</f>
        <v>0.61761158021712903</v>
      </c>
      <c r="AD19" s="35">
        <f>X19/G19</f>
        <v>0.40588235294117647</v>
      </c>
      <c r="AE19" s="15">
        <f>Y19/H19</f>
        <v>0.59792122538293213</v>
      </c>
      <c r="AF19" s="36">
        <f>Z19/F19</f>
        <v>0.49879372738238842</v>
      </c>
      <c r="AG19" s="36">
        <f>AA19/G19</f>
        <v>0.25294117647058822</v>
      </c>
      <c r="AH19" s="15">
        <f>AB19/H19</f>
        <v>0.4759299781181619</v>
      </c>
    </row>
    <row r="20" spans="1:34" x14ac:dyDescent="0.35">
      <c r="A20" s="8">
        <v>17</v>
      </c>
      <c r="B20" s="1" t="s">
        <v>233</v>
      </c>
      <c r="C20" s="1" t="s">
        <v>234</v>
      </c>
      <c r="D20" s="1" t="s">
        <v>61</v>
      </c>
      <c r="E20" s="1" t="s">
        <v>37</v>
      </c>
      <c r="F20" s="9">
        <v>1910</v>
      </c>
      <c r="G20" s="9">
        <v>220</v>
      </c>
      <c r="H20" s="10">
        <f>F20+G20</f>
        <v>2130</v>
      </c>
      <c r="I20" s="17">
        <v>759</v>
      </c>
      <c r="J20" s="17">
        <v>166</v>
      </c>
      <c r="K20" s="17">
        <v>209</v>
      </c>
      <c r="L20" s="17">
        <f>I20+J20</f>
        <v>925</v>
      </c>
      <c r="M20" s="18">
        <f>K20-J20</f>
        <v>43</v>
      </c>
      <c r="N20" s="19">
        <v>24</v>
      </c>
      <c r="O20" s="19">
        <v>74</v>
      </c>
      <c r="P20" s="19">
        <v>65</v>
      </c>
      <c r="Q20" s="19">
        <f>N20+O20</f>
        <v>98</v>
      </c>
      <c r="R20" s="20">
        <f>P20-O20</f>
        <v>-9</v>
      </c>
      <c r="S20" s="21">
        <f>L20+Q20</f>
        <v>1023</v>
      </c>
      <c r="T20" s="21">
        <f>J20+O20</f>
        <v>240</v>
      </c>
      <c r="U20" s="21">
        <f>K20+P20</f>
        <v>274</v>
      </c>
      <c r="V20" s="21">
        <f>U20-S20</f>
        <v>-749</v>
      </c>
      <c r="W20" s="11">
        <f>I20+J20+K20</f>
        <v>1134</v>
      </c>
      <c r="X20" s="11">
        <f>N20+O20+P20</f>
        <v>163</v>
      </c>
      <c r="Y20" s="12">
        <f>W20+X20</f>
        <v>1297</v>
      </c>
      <c r="Z20" s="13">
        <f>I20+K20</f>
        <v>968</v>
      </c>
      <c r="AA20" s="13">
        <f>N20+P20</f>
        <v>89</v>
      </c>
      <c r="AB20" s="14">
        <f>Z20+AA20</f>
        <v>1057</v>
      </c>
      <c r="AC20" s="35">
        <f>W20/F20</f>
        <v>0.59371727748691094</v>
      </c>
      <c r="AD20" s="35">
        <f>X20/G20</f>
        <v>0.74090909090909096</v>
      </c>
      <c r="AE20" s="15">
        <f>Y20/H20</f>
        <v>0.60892018779342727</v>
      </c>
      <c r="AF20" s="36">
        <f>Z20/F20</f>
        <v>0.50680628272251305</v>
      </c>
      <c r="AG20" s="36">
        <f>AA20/G20</f>
        <v>0.40454545454545454</v>
      </c>
      <c r="AH20" s="15">
        <f>AB20/H20</f>
        <v>0.49624413145539908</v>
      </c>
    </row>
    <row r="21" spans="1:34" x14ac:dyDescent="0.35">
      <c r="A21" s="8">
        <v>18</v>
      </c>
      <c r="B21" s="1" t="s">
        <v>241</v>
      </c>
      <c r="C21" s="1" t="s">
        <v>242</v>
      </c>
      <c r="D21" s="1" t="s">
        <v>61</v>
      </c>
      <c r="E21" s="1" t="s">
        <v>34</v>
      </c>
      <c r="F21" s="9">
        <v>1489</v>
      </c>
      <c r="G21" s="9">
        <v>278</v>
      </c>
      <c r="H21" s="10">
        <f>F21+G21</f>
        <v>1767</v>
      </c>
      <c r="I21" s="17">
        <v>509</v>
      </c>
      <c r="J21" s="17">
        <v>158</v>
      </c>
      <c r="K21" s="17">
        <v>105</v>
      </c>
      <c r="L21" s="17">
        <f>I21+J21</f>
        <v>667</v>
      </c>
      <c r="M21" s="18">
        <f>K21-J21</f>
        <v>-53</v>
      </c>
      <c r="N21" s="19">
        <v>24</v>
      </c>
      <c r="O21" s="19">
        <v>27</v>
      </c>
      <c r="P21" s="19">
        <v>34</v>
      </c>
      <c r="Q21" s="19">
        <f>N21+O21</f>
        <v>51</v>
      </c>
      <c r="R21" s="20">
        <f>P21-O21</f>
        <v>7</v>
      </c>
      <c r="S21" s="21">
        <f>L21+Q21</f>
        <v>718</v>
      </c>
      <c r="T21" s="21">
        <f>J21+O21</f>
        <v>185</v>
      </c>
      <c r="U21" s="21">
        <f>K21+P21</f>
        <v>139</v>
      </c>
      <c r="V21" s="21">
        <f>U21-S21</f>
        <v>-579</v>
      </c>
      <c r="W21" s="11">
        <f>I21+J21+K21</f>
        <v>772</v>
      </c>
      <c r="X21" s="11">
        <f>N21+O21+P21</f>
        <v>85</v>
      </c>
      <c r="Y21" s="12">
        <f>W21+X21</f>
        <v>857</v>
      </c>
      <c r="Z21" s="13">
        <f>I21+K21</f>
        <v>614</v>
      </c>
      <c r="AA21" s="13">
        <f>N21+P21</f>
        <v>58</v>
      </c>
      <c r="AB21" s="14">
        <f>Z21+AA21</f>
        <v>672</v>
      </c>
      <c r="AC21" s="35">
        <f>W21/F21</f>
        <v>0.51846877098723976</v>
      </c>
      <c r="AD21" s="35">
        <f>X21/G21</f>
        <v>0.30575539568345322</v>
      </c>
      <c r="AE21" s="15">
        <f>Y21/H21</f>
        <v>0.48500282965478214</v>
      </c>
      <c r="AF21" s="36">
        <f>Z21/F21</f>
        <v>0.41235728676964406</v>
      </c>
      <c r="AG21" s="36">
        <f>AA21/G21</f>
        <v>0.20863309352517986</v>
      </c>
      <c r="AH21" s="15">
        <f>AB21/H21</f>
        <v>0.38030560271646857</v>
      </c>
    </row>
    <row r="22" spans="1:34" x14ac:dyDescent="0.35">
      <c r="A22" s="8">
        <v>19</v>
      </c>
      <c r="B22" s="1" t="s">
        <v>279</v>
      </c>
      <c r="C22" s="1" t="s">
        <v>280</v>
      </c>
      <c r="D22" s="1" t="s">
        <v>61</v>
      </c>
      <c r="E22" s="1" t="s">
        <v>68</v>
      </c>
      <c r="F22" s="9">
        <v>1837</v>
      </c>
      <c r="G22" s="9">
        <v>406</v>
      </c>
      <c r="H22" s="10">
        <f>F22+G22</f>
        <v>2243</v>
      </c>
      <c r="I22" s="17">
        <v>999</v>
      </c>
      <c r="J22" s="17">
        <v>204</v>
      </c>
      <c r="K22" s="17">
        <v>206</v>
      </c>
      <c r="L22" s="17">
        <f>I22+J22</f>
        <v>1203</v>
      </c>
      <c r="M22" s="18">
        <f>K22-J22</f>
        <v>2</v>
      </c>
      <c r="N22" s="19">
        <v>44</v>
      </c>
      <c r="O22" s="19">
        <v>119</v>
      </c>
      <c r="P22" s="19">
        <v>72</v>
      </c>
      <c r="Q22" s="19">
        <f>N22+O22</f>
        <v>163</v>
      </c>
      <c r="R22" s="20">
        <f>P22-O22</f>
        <v>-47</v>
      </c>
      <c r="S22" s="21">
        <f>L22+Q22</f>
        <v>1366</v>
      </c>
      <c r="T22" s="21">
        <f>J22+O22</f>
        <v>323</v>
      </c>
      <c r="U22" s="21">
        <f>K22+P22</f>
        <v>278</v>
      </c>
      <c r="V22" s="21">
        <f>U22-S22</f>
        <v>-1088</v>
      </c>
      <c r="W22" s="11">
        <f>I22+J22+K22</f>
        <v>1409</v>
      </c>
      <c r="X22" s="11">
        <f>N22+O22+P22</f>
        <v>235</v>
      </c>
      <c r="Y22" s="12">
        <f>W22+X22</f>
        <v>1644</v>
      </c>
      <c r="Z22" s="13">
        <f>I22+K22</f>
        <v>1205</v>
      </c>
      <c r="AA22" s="13">
        <f>N22+P22</f>
        <v>116</v>
      </c>
      <c r="AB22" s="14">
        <f>Z22+AA22</f>
        <v>1321</v>
      </c>
      <c r="AC22" s="35">
        <f>W22/F22</f>
        <v>0.76701143168209041</v>
      </c>
      <c r="AD22" s="35">
        <f>X22/G22</f>
        <v>0.5788177339901478</v>
      </c>
      <c r="AE22" s="15">
        <f>Y22/H22</f>
        <v>0.73294694605439148</v>
      </c>
      <c r="AF22" s="36">
        <f>Z22/F22</f>
        <v>0.65596080566140447</v>
      </c>
      <c r="AG22" s="36">
        <f>AA22/G22</f>
        <v>0.2857142857142857</v>
      </c>
      <c r="AH22" s="15">
        <f>AB22/H22</f>
        <v>0.58894337940258579</v>
      </c>
    </row>
    <row r="23" spans="1:34" x14ac:dyDescent="0.35">
      <c r="A23" s="8">
        <v>20</v>
      </c>
      <c r="B23" s="1" t="s">
        <v>297</v>
      </c>
      <c r="C23" s="1" t="s">
        <v>298</v>
      </c>
      <c r="D23" s="1" t="s">
        <v>61</v>
      </c>
      <c r="E23" s="1" t="s">
        <v>299</v>
      </c>
      <c r="F23" s="9">
        <v>1646</v>
      </c>
      <c r="G23" s="9">
        <v>227</v>
      </c>
      <c r="H23" s="10">
        <f>F23+G23</f>
        <v>1873</v>
      </c>
      <c r="I23" s="17">
        <v>853</v>
      </c>
      <c r="J23" s="17">
        <v>100</v>
      </c>
      <c r="K23" s="17">
        <v>201</v>
      </c>
      <c r="L23" s="17">
        <f>I23+J23</f>
        <v>953</v>
      </c>
      <c r="M23" s="18">
        <f>K23-J23</f>
        <v>101</v>
      </c>
      <c r="N23" s="19">
        <v>41</v>
      </c>
      <c r="O23" s="19">
        <v>79</v>
      </c>
      <c r="P23" s="19">
        <v>80</v>
      </c>
      <c r="Q23" s="19">
        <f>N23+O23</f>
        <v>120</v>
      </c>
      <c r="R23" s="20">
        <f>P23-O23</f>
        <v>1</v>
      </c>
      <c r="S23" s="21">
        <f>L23+Q23</f>
        <v>1073</v>
      </c>
      <c r="T23" s="21">
        <f>J23+O23</f>
        <v>179</v>
      </c>
      <c r="U23" s="21">
        <f>K23+P23</f>
        <v>281</v>
      </c>
      <c r="V23" s="21">
        <f>U23-S23</f>
        <v>-792</v>
      </c>
      <c r="W23" s="11">
        <f>I23+J23+K23</f>
        <v>1154</v>
      </c>
      <c r="X23" s="11">
        <f>N23+O23+P23</f>
        <v>200</v>
      </c>
      <c r="Y23" s="12">
        <f>W23+X23</f>
        <v>1354</v>
      </c>
      <c r="Z23" s="13">
        <f>I23+K23</f>
        <v>1054</v>
      </c>
      <c r="AA23" s="13">
        <f>N23+P23</f>
        <v>121</v>
      </c>
      <c r="AB23" s="14">
        <f>Z23+AA23</f>
        <v>1175</v>
      </c>
      <c r="AC23" s="35">
        <f>W23/F23</f>
        <v>0.70109356014580804</v>
      </c>
      <c r="AD23" s="35">
        <f>X23/G23</f>
        <v>0.88105726872246692</v>
      </c>
      <c r="AE23" s="15">
        <f>Y23/H23</f>
        <v>0.72290443139348637</v>
      </c>
      <c r="AF23" s="36">
        <f>Z23/F23</f>
        <v>0.64034021871202917</v>
      </c>
      <c r="AG23" s="36">
        <f>AA23/G23</f>
        <v>0.53303964757709255</v>
      </c>
      <c r="AH23" s="15">
        <f>AB23/H23</f>
        <v>0.62733582487987183</v>
      </c>
    </row>
    <row r="24" spans="1:34" x14ac:dyDescent="0.35">
      <c r="A24" s="8">
        <v>21</v>
      </c>
      <c r="B24" s="1" t="s">
        <v>324</v>
      </c>
      <c r="C24" s="1" t="s">
        <v>325</v>
      </c>
      <c r="D24" s="1" t="s">
        <v>61</v>
      </c>
      <c r="E24" s="1" t="s">
        <v>16</v>
      </c>
      <c r="F24" s="9">
        <v>1952</v>
      </c>
      <c r="G24" s="9">
        <v>369</v>
      </c>
      <c r="H24" s="10">
        <f>F24+G24</f>
        <v>2321</v>
      </c>
      <c r="I24" s="17">
        <v>553</v>
      </c>
      <c r="J24" s="17">
        <v>405</v>
      </c>
      <c r="K24" s="17">
        <v>148</v>
      </c>
      <c r="L24" s="17">
        <f>I24+J24</f>
        <v>958</v>
      </c>
      <c r="M24" s="18">
        <f>K24-J24</f>
        <v>-257</v>
      </c>
      <c r="N24" s="19">
        <v>22</v>
      </c>
      <c r="O24" s="19">
        <v>81</v>
      </c>
      <c r="P24" s="19">
        <v>40</v>
      </c>
      <c r="Q24" s="19">
        <f>N24+O24</f>
        <v>103</v>
      </c>
      <c r="R24" s="20">
        <f>P24-O24</f>
        <v>-41</v>
      </c>
      <c r="S24" s="21">
        <f>L24+Q24</f>
        <v>1061</v>
      </c>
      <c r="T24" s="21">
        <f>J24+O24</f>
        <v>486</v>
      </c>
      <c r="U24" s="21">
        <f>K24+P24</f>
        <v>188</v>
      </c>
      <c r="V24" s="21">
        <f>U24-S24</f>
        <v>-873</v>
      </c>
      <c r="W24" s="11">
        <f>I24+J24+K24</f>
        <v>1106</v>
      </c>
      <c r="X24" s="11">
        <f>N24+O24+P24</f>
        <v>143</v>
      </c>
      <c r="Y24" s="12">
        <f>W24+X24</f>
        <v>1249</v>
      </c>
      <c r="Z24" s="13">
        <f>I24+K24</f>
        <v>701</v>
      </c>
      <c r="AA24" s="13">
        <f>N24+P24</f>
        <v>62</v>
      </c>
      <c r="AB24" s="14">
        <f>Z24+AA24</f>
        <v>763</v>
      </c>
      <c r="AC24" s="35">
        <f>W24/F24</f>
        <v>0.56659836065573765</v>
      </c>
      <c r="AD24" s="35">
        <f>X24/G24</f>
        <v>0.38753387533875339</v>
      </c>
      <c r="AE24" s="15">
        <f>Y24/H24</f>
        <v>0.53813011632916841</v>
      </c>
      <c r="AF24" s="36">
        <f>Z24/F24</f>
        <v>0.35911885245901637</v>
      </c>
      <c r="AG24" s="36">
        <f>AA24/G24</f>
        <v>0.16802168021680217</v>
      </c>
      <c r="AH24" s="15">
        <f>AB24/H24</f>
        <v>0.32873761309780269</v>
      </c>
    </row>
    <row r="25" spans="1:34" x14ac:dyDescent="0.35">
      <c r="A25" s="8">
        <v>22</v>
      </c>
      <c r="B25" s="1" t="s">
        <v>328</v>
      </c>
      <c r="C25" s="1" t="s">
        <v>329</v>
      </c>
      <c r="D25" s="1" t="s">
        <v>61</v>
      </c>
      <c r="E25" s="1" t="s">
        <v>37</v>
      </c>
      <c r="F25" s="9">
        <v>1888</v>
      </c>
      <c r="G25" s="9">
        <v>216</v>
      </c>
      <c r="H25" s="10">
        <f>F25+G25</f>
        <v>2104</v>
      </c>
      <c r="I25" s="17">
        <v>1095</v>
      </c>
      <c r="J25" s="17">
        <v>250</v>
      </c>
      <c r="K25" s="17">
        <v>259</v>
      </c>
      <c r="L25" s="17">
        <f>I25+J25</f>
        <v>1345</v>
      </c>
      <c r="M25" s="18">
        <f>K25-J25</f>
        <v>9</v>
      </c>
      <c r="N25" s="19">
        <v>39</v>
      </c>
      <c r="O25" s="19">
        <v>109</v>
      </c>
      <c r="P25" s="19">
        <v>100</v>
      </c>
      <c r="Q25" s="19">
        <f>N25+O25</f>
        <v>148</v>
      </c>
      <c r="R25" s="20">
        <f>P25-O25</f>
        <v>-9</v>
      </c>
      <c r="S25" s="21">
        <f>L25+Q25</f>
        <v>1493</v>
      </c>
      <c r="T25" s="21">
        <f>J25+O25</f>
        <v>359</v>
      </c>
      <c r="U25" s="21">
        <f>K25+P25</f>
        <v>359</v>
      </c>
      <c r="V25" s="21">
        <f>U25-S25</f>
        <v>-1134</v>
      </c>
      <c r="W25" s="11">
        <f>I25+J25+K25</f>
        <v>1604</v>
      </c>
      <c r="X25" s="11">
        <f>N25+O25+P25</f>
        <v>248</v>
      </c>
      <c r="Y25" s="12">
        <f>W25+X25</f>
        <v>1852</v>
      </c>
      <c r="Z25" s="13">
        <f>I25+K25</f>
        <v>1354</v>
      </c>
      <c r="AA25" s="13">
        <f>N25+P25</f>
        <v>139</v>
      </c>
      <c r="AB25" s="14">
        <f>Z25+AA25</f>
        <v>1493</v>
      </c>
      <c r="AC25" s="35">
        <f>W25/F25</f>
        <v>0.84957627118644063</v>
      </c>
      <c r="AD25" s="35">
        <f>X25/G25</f>
        <v>1.1481481481481481</v>
      </c>
      <c r="AE25" s="15">
        <f>Y25/H25</f>
        <v>0.88022813688212931</v>
      </c>
      <c r="AF25" s="36">
        <f>Z25/F25</f>
        <v>0.71716101694915257</v>
      </c>
      <c r="AG25" s="36">
        <f>AA25/G25</f>
        <v>0.64351851851851849</v>
      </c>
      <c r="AH25" s="15">
        <f>AB25/H25</f>
        <v>0.70960076045627374</v>
      </c>
    </row>
    <row r="26" spans="1:34" x14ac:dyDescent="0.35">
      <c r="A26" s="8">
        <v>23</v>
      </c>
      <c r="B26" s="1" t="s">
        <v>336</v>
      </c>
      <c r="C26" s="1" t="s">
        <v>337</v>
      </c>
      <c r="D26" s="1" t="s">
        <v>61</v>
      </c>
      <c r="E26" s="1" t="s">
        <v>101</v>
      </c>
      <c r="F26" s="9">
        <v>2040</v>
      </c>
      <c r="G26" s="9">
        <v>169</v>
      </c>
      <c r="H26" s="10">
        <f>F26+G26</f>
        <v>2209</v>
      </c>
      <c r="I26" s="17">
        <v>759</v>
      </c>
      <c r="J26" s="17">
        <v>193</v>
      </c>
      <c r="K26" s="17">
        <v>63</v>
      </c>
      <c r="L26" s="17">
        <f>I26+J26</f>
        <v>952</v>
      </c>
      <c r="M26" s="18">
        <f>K26-J26</f>
        <v>-130</v>
      </c>
      <c r="N26" s="19">
        <v>28</v>
      </c>
      <c r="O26" s="19">
        <v>49</v>
      </c>
      <c r="P26" s="19">
        <v>34</v>
      </c>
      <c r="Q26" s="19">
        <f>N26+O26</f>
        <v>77</v>
      </c>
      <c r="R26" s="20">
        <f>P26-O26</f>
        <v>-15</v>
      </c>
      <c r="S26" s="21">
        <f>L26+Q26</f>
        <v>1029</v>
      </c>
      <c r="T26" s="21">
        <f>J26+O26</f>
        <v>242</v>
      </c>
      <c r="U26" s="21">
        <f>K26+P26</f>
        <v>97</v>
      </c>
      <c r="V26" s="21">
        <f>U26-S26</f>
        <v>-932</v>
      </c>
      <c r="W26" s="11">
        <f>I26+J26+K26</f>
        <v>1015</v>
      </c>
      <c r="X26" s="11">
        <f>N26+O26+P26</f>
        <v>111</v>
      </c>
      <c r="Y26" s="12">
        <f>W26+X26</f>
        <v>1126</v>
      </c>
      <c r="Z26" s="13">
        <f>I26+K26</f>
        <v>822</v>
      </c>
      <c r="AA26" s="13">
        <f>N26+P26</f>
        <v>62</v>
      </c>
      <c r="AB26" s="14">
        <f>Z26+AA26</f>
        <v>884</v>
      </c>
      <c r="AC26" s="35">
        <f>W26/F26</f>
        <v>0.49754901960784315</v>
      </c>
      <c r="AD26" s="35">
        <f>X26/G26</f>
        <v>0.65680473372781067</v>
      </c>
      <c r="AE26" s="15">
        <f>Y26/H26</f>
        <v>0.50973291081937533</v>
      </c>
      <c r="AF26" s="36">
        <f>Z26/F26</f>
        <v>0.40294117647058825</v>
      </c>
      <c r="AG26" s="36">
        <f>AA26/G26</f>
        <v>0.36686390532544377</v>
      </c>
      <c r="AH26" s="15">
        <f>AB26/H26</f>
        <v>0.40018107741059306</v>
      </c>
    </row>
    <row r="27" spans="1:34" x14ac:dyDescent="0.35">
      <c r="A27" s="8"/>
      <c r="B27" s="1"/>
      <c r="C27" s="1"/>
      <c r="D27" s="1" t="s">
        <v>61</v>
      </c>
      <c r="E27" s="1" t="s">
        <v>340</v>
      </c>
      <c r="F27" s="9"/>
      <c r="G27" s="9">
        <v>12</v>
      </c>
      <c r="H27" s="10">
        <f>F27+G27</f>
        <v>12</v>
      </c>
      <c r="I27" s="17"/>
      <c r="J27" s="17"/>
      <c r="K27" s="17"/>
      <c r="L27" s="17">
        <f>I27+J27</f>
        <v>0</v>
      </c>
      <c r="M27" s="18">
        <f>K27-J27</f>
        <v>0</v>
      </c>
      <c r="N27" s="19">
        <v>0</v>
      </c>
      <c r="O27" s="19">
        <v>0</v>
      </c>
      <c r="P27" s="19">
        <v>0</v>
      </c>
      <c r="Q27" s="19">
        <f>N27+O27</f>
        <v>0</v>
      </c>
      <c r="R27" s="20">
        <f>P27-O27</f>
        <v>0</v>
      </c>
      <c r="S27" s="21">
        <f>L27+Q27</f>
        <v>0</v>
      </c>
      <c r="T27" s="21">
        <f>J27+O27</f>
        <v>0</v>
      </c>
      <c r="U27" s="21">
        <f>K27+P27</f>
        <v>0</v>
      </c>
      <c r="V27" s="21">
        <f>U27-S27</f>
        <v>0</v>
      </c>
      <c r="W27" s="11"/>
      <c r="X27" s="11">
        <f>N27+O27+P27</f>
        <v>0</v>
      </c>
      <c r="Y27" s="12">
        <f>W27+X27</f>
        <v>0</v>
      </c>
      <c r="Z27" s="13"/>
      <c r="AA27" s="13">
        <f>N27+P27</f>
        <v>0</v>
      </c>
      <c r="AB27" s="14">
        <f>Z27+AA27</f>
        <v>0</v>
      </c>
      <c r="AC27" s="35"/>
      <c r="AD27" s="35">
        <f>X27/G27</f>
        <v>0</v>
      </c>
      <c r="AE27" s="15">
        <f>Y27/H27</f>
        <v>0</v>
      </c>
      <c r="AF27" s="36"/>
      <c r="AG27" s="36">
        <f>AA27/G27</f>
        <v>0</v>
      </c>
      <c r="AH27" s="15">
        <f>AB27/H27</f>
        <v>0</v>
      </c>
    </row>
  </sheetData>
  <autoFilter ref="A3:AZ27" xr:uid="{85D06E92-CD7C-4BA2-B0C1-B4128F266F62}">
    <sortState xmlns:xlrd2="http://schemas.microsoft.com/office/spreadsheetml/2017/richdata2" ref="A4:AZ27">
      <sortCondition ref="B3:B27"/>
    </sortState>
  </autoFilter>
  <mergeCells count="12">
    <mergeCell ref="AC2:AE2"/>
    <mergeCell ref="AF2:AH2"/>
    <mergeCell ref="F1:H1"/>
    <mergeCell ref="I1:V1"/>
    <mergeCell ref="W1:AB1"/>
    <mergeCell ref="AC1:AH1"/>
    <mergeCell ref="F2:H2"/>
    <mergeCell ref="I2:M2"/>
    <mergeCell ref="N2:R2"/>
    <mergeCell ref="S2:V2"/>
    <mergeCell ref="W2:Y2"/>
    <mergeCell ref="Z2:AB2"/>
  </mergeCells>
  <conditionalFormatting sqref="AE4:AE27">
    <cfRule type="cellIs" dxfId="1" priority="2" operator="greaterThan">
      <formula>0.3999999999</formula>
    </cfRule>
  </conditionalFormatting>
  <conditionalFormatting sqref="AH4:AH27">
    <cfRule type="cellIs" dxfId="0" priority="1" operator="greaterThan">
      <formula>0.3999999999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C715-C469-44DA-8157-426DC4FE5B92}">
  <sheetPr>
    <tabColor theme="5" tint="-0.249977111117893"/>
  </sheetPr>
  <dimension ref="A1:R266"/>
  <sheetViews>
    <sheetView tabSelected="1" topLeftCell="A236" workbookViewId="0">
      <selection activeCell="A255" sqref="A255:K266"/>
    </sheetView>
  </sheetViews>
  <sheetFormatPr defaultRowHeight="14.5" x14ac:dyDescent="0.35"/>
  <cols>
    <col min="1" max="1" width="3.81640625" style="16" bestFit="1" customWidth="1"/>
    <col min="2" max="2" width="30.1796875" customWidth="1"/>
    <col min="4" max="4" width="10.08984375" bestFit="1" customWidth="1"/>
    <col min="5" max="5" width="11.36328125" bestFit="1" customWidth="1"/>
    <col min="6" max="6" width="4.7265625" bestFit="1" customWidth="1"/>
    <col min="7" max="7" width="21.81640625" bestFit="1" customWidth="1"/>
    <col min="8" max="8" width="10.08984375" bestFit="1" customWidth="1"/>
    <col min="9" max="9" width="11.36328125" style="16" bestFit="1" customWidth="1"/>
    <col min="10" max="10" width="4.7265625" style="16" bestFit="1" customWidth="1"/>
    <col min="11" max="11" width="21.81640625" style="16" bestFit="1" customWidth="1"/>
  </cols>
  <sheetData>
    <row r="1" spans="1:11" ht="18.5" x14ac:dyDescent="0.45">
      <c r="B1" s="37" t="s">
        <v>351</v>
      </c>
    </row>
    <row r="2" spans="1:11" x14ac:dyDescent="0.35">
      <c r="A2" s="1"/>
      <c r="B2" s="1"/>
      <c r="C2" s="1"/>
      <c r="D2" s="31" t="s">
        <v>343</v>
      </c>
      <c r="E2" s="32"/>
      <c r="F2" s="32"/>
      <c r="G2" s="32"/>
      <c r="H2" s="32"/>
      <c r="I2" s="32"/>
      <c r="J2" s="32"/>
      <c r="K2" s="32"/>
    </row>
    <row r="3" spans="1:11" x14ac:dyDescent="0.35">
      <c r="A3" s="1"/>
      <c r="B3" s="1"/>
      <c r="C3" s="1"/>
      <c r="D3" s="23" t="s">
        <v>10</v>
      </c>
      <c r="E3" s="23"/>
      <c r="F3" s="23"/>
      <c r="G3" s="23"/>
      <c r="H3" s="24" t="s">
        <v>11</v>
      </c>
      <c r="I3" s="24"/>
      <c r="J3" s="24"/>
      <c r="K3" s="24"/>
    </row>
    <row r="4" spans="1:11" x14ac:dyDescent="0.35">
      <c r="A4" s="2" t="s">
        <v>5</v>
      </c>
      <c r="B4" s="3" t="s">
        <v>6</v>
      </c>
      <c r="C4" s="3" t="s">
        <v>8</v>
      </c>
      <c r="D4" s="5" t="s">
        <v>346</v>
      </c>
      <c r="E4" s="5" t="s">
        <v>2</v>
      </c>
      <c r="F4" s="5" t="s">
        <v>341</v>
      </c>
      <c r="G4" s="5" t="s">
        <v>347</v>
      </c>
      <c r="H4" s="6" t="s">
        <v>346</v>
      </c>
      <c r="I4" s="6" t="s">
        <v>2</v>
      </c>
      <c r="J4" s="6" t="s">
        <v>341</v>
      </c>
      <c r="K4" s="6" t="s">
        <v>347</v>
      </c>
    </row>
    <row r="5" spans="1:11" x14ac:dyDescent="0.35">
      <c r="A5" s="8">
        <v>1</v>
      </c>
      <c r="B5" s="1" t="s">
        <v>56</v>
      </c>
      <c r="C5" s="1" t="s">
        <v>15</v>
      </c>
      <c r="D5" s="17">
        <v>189</v>
      </c>
      <c r="E5" s="39">
        <v>35</v>
      </c>
      <c r="F5" s="39">
        <v>1</v>
      </c>
      <c r="G5" s="40">
        <v>-34</v>
      </c>
      <c r="H5" s="19">
        <v>20</v>
      </c>
      <c r="I5" s="19">
        <v>10</v>
      </c>
      <c r="J5" s="19">
        <v>20</v>
      </c>
      <c r="K5" s="20">
        <v>10</v>
      </c>
    </row>
    <row r="6" spans="1:11" x14ac:dyDescent="0.35">
      <c r="A6" s="8">
        <v>2</v>
      </c>
      <c r="B6" s="1" t="s">
        <v>151</v>
      </c>
      <c r="C6" s="1" t="s">
        <v>61</v>
      </c>
      <c r="D6" s="41">
        <v>744</v>
      </c>
      <c r="E6" s="41">
        <v>121</v>
      </c>
      <c r="F6" s="41">
        <v>161</v>
      </c>
      <c r="G6" s="42">
        <v>40</v>
      </c>
      <c r="H6" s="41">
        <v>34</v>
      </c>
      <c r="I6" s="41">
        <v>49</v>
      </c>
      <c r="J6" s="41">
        <v>59</v>
      </c>
      <c r="K6" s="42">
        <v>10</v>
      </c>
    </row>
    <row r="7" spans="1:11" x14ac:dyDescent="0.35">
      <c r="A7" s="8">
        <v>3</v>
      </c>
      <c r="B7" s="1" t="s">
        <v>160</v>
      </c>
      <c r="C7" s="1" t="s">
        <v>15</v>
      </c>
      <c r="D7" s="17">
        <v>133</v>
      </c>
      <c r="E7" s="17">
        <v>10</v>
      </c>
      <c r="F7" s="17">
        <v>21</v>
      </c>
      <c r="G7" s="18">
        <v>11</v>
      </c>
      <c r="H7" s="19">
        <v>13</v>
      </c>
      <c r="I7" s="39">
        <v>16</v>
      </c>
      <c r="J7" s="19">
        <v>30</v>
      </c>
      <c r="K7" s="20">
        <v>14</v>
      </c>
    </row>
    <row r="8" spans="1:11" x14ac:dyDescent="0.35">
      <c r="A8" s="8">
        <v>4</v>
      </c>
      <c r="B8" s="1" t="s">
        <v>166</v>
      </c>
      <c r="C8" s="1" t="s">
        <v>61</v>
      </c>
      <c r="D8" s="41">
        <v>908</v>
      </c>
      <c r="E8" s="41">
        <v>191</v>
      </c>
      <c r="F8" s="41">
        <v>104</v>
      </c>
      <c r="G8" s="42">
        <v>-87</v>
      </c>
      <c r="H8" s="41">
        <v>59</v>
      </c>
      <c r="I8" s="41">
        <v>74</v>
      </c>
      <c r="J8" s="41">
        <v>63</v>
      </c>
      <c r="K8" s="42">
        <v>-11</v>
      </c>
    </row>
    <row r="9" spans="1:11" x14ac:dyDescent="0.35">
      <c r="A9" s="8">
        <v>5</v>
      </c>
      <c r="B9" s="1" t="s">
        <v>168</v>
      </c>
      <c r="C9" s="1" t="s">
        <v>15</v>
      </c>
      <c r="D9" s="17">
        <v>121</v>
      </c>
      <c r="E9" s="17">
        <v>18</v>
      </c>
      <c r="F9" s="17">
        <v>17</v>
      </c>
      <c r="G9" s="18">
        <v>-1</v>
      </c>
      <c r="H9" s="39">
        <v>1</v>
      </c>
      <c r="I9" s="19">
        <v>8</v>
      </c>
      <c r="J9" s="39">
        <v>1</v>
      </c>
      <c r="K9" s="40">
        <v>-7</v>
      </c>
    </row>
    <row r="10" spans="1:11" x14ac:dyDescent="0.35">
      <c r="A10" s="8">
        <v>6</v>
      </c>
      <c r="B10" s="1" t="s">
        <v>176</v>
      </c>
      <c r="C10" s="1" t="s">
        <v>15</v>
      </c>
      <c r="D10" s="17">
        <v>161</v>
      </c>
      <c r="E10" s="39">
        <v>47</v>
      </c>
      <c r="F10" s="17">
        <v>17</v>
      </c>
      <c r="G10" s="40">
        <v>-30</v>
      </c>
      <c r="H10" s="19">
        <v>17</v>
      </c>
      <c r="I10" s="39">
        <v>20</v>
      </c>
      <c r="J10" s="19">
        <v>18</v>
      </c>
      <c r="K10" s="20">
        <v>-2</v>
      </c>
    </row>
    <row r="11" spans="1:11" x14ac:dyDescent="0.35">
      <c r="A11" s="8">
        <v>7</v>
      </c>
      <c r="B11" s="1" t="s">
        <v>180</v>
      </c>
      <c r="C11" s="1" t="s">
        <v>15</v>
      </c>
      <c r="D11" s="17">
        <v>180</v>
      </c>
      <c r="E11" s="17">
        <v>3</v>
      </c>
      <c r="F11" s="17">
        <v>41</v>
      </c>
      <c r="G11" s="18">
        <v>38</v>
      </c>
      <c r="H11" s="19">
        <v>15</v>
      </c>
      <c r="I11" s="19">
        <v>2</v>
      </c>
      <c r="J11" s="19">
        <v>18</v>
      </c>
      <c r="K11" s="20">
        <v>16</v>
      </c>
    </row>
    <row r="12" spans="1:11" x14ac:dyDescent="0.35">
      <c r="A12" s="8">
        <v>8</v>
      </c>
      <c r="B12" s="1" t="s">
        <v>277</v>
      </c>
      <c r="C12" s="1" t="s">
        <v>15</v>
      </c>
      <c r="D12" s="17">
        <v>200</v>
      </c>
      <c r="E12" s="17">
        <v>29</v>
      </c>
      <c r="F12" s="17">
        <v>78</v>
      </c>
      <c r="G12" s="18">
        <v>49</v>
      </c>
      <c r="H12" s="39">
        <v>3</v>
      </c>
      <c r="I12" s="19">
        <v>12</v>
      </c>
      <c r="J12" s="19">
        <v>6</v>
      </c>
      <c r="K12" s="20">
        <v>-6</v>
      </c>
    </row>
    <row r="13" spans="1:11" x14ac:dyDescent="0.35">
      <c r="A13" s="8">
        <v>9</v>
      </c>
      <c r="B13" s="1" t="s">
        <v>293</v>
      </c>
      <c r="C13" s="1" t="s">
        <v>15</v>
      </c>
      <c r="D13" s="17">
        <v>211</v>
      </c>
      <c r="E13" s="39">
        <v>62</v>
      </c>
      <c r="F13" s="17">
        <v>32</v>
      </c>
      <c r="G13" s="40">
        <v>-30</v>
      </c>
      <c r="H13" s="39">
        <v>3</v>
      </c>
      <c r="I13" s="39">
        <v>28</v>
      </c>
      <c r="J13" s="39">
        <v>3</v>
      </c>
      <c r="K13" s="40">
        <v>-25</v>
      </c>
    </row>
    <row r="14" spans="1:11" x14ac:dyDescent="0.35">
      <c r="A14" s="8">
        <v>10</v>
      </c>
      <c r="B14" s="1" t="s">
        <v>314</v>
      </c>
      <c r="C14" s="1" t="s">
        <v>15</v>
      </c>
      <c r="D14" s="17">
        <v>151</v>
      </c>
      <c r="E14" s="17">
        <v>29</v>
      </c>
      <c r="F14" s="17">
        <v>27</v>
      </c>
      <c r="G14" s="18">
        <v>-2</v>
      </c>
      <c r="H14" s="19">
        <v>12</v>
      </c>
      <c r="I14" s="19">
        <v>7</v>
      </c>
      <c r="J14" s="19">
        <v>17</v>
      </c>
      <c r="K14" s="20">
        <v>10</v>
      </c>
    </row>
    <row r="15" spans="1:11" x14ac:dyDescent="0.35">
      <c r="A15" s="8">
        <v>11</v>
      </c>
      <c r="B15" s="1" t="s">
        <v>322</v>
      </c>
      <c r="C15" s="1" t="s">
        <v>15</v>
      </c>
      <c r="D15" s="17">
        <v>139</v>
      </c>
      <c r="E15" s="39">
        <v>35</v>
      </c>
      <c r="F15" s="39">
        <v>18</v>
      </c>
      <c r="G15" s="18">
        <v>-17</v>
      </c>
      <c r="H15" s="39">
        <v>5</v>
      </c>
      <c r="I15" s="19">
        <v>6</v>
      </c>
      <c r="J15" s="39">
        <v>5</v>
      </c>
      <c r="K15" s="20">
        <v>-1</v>
      </c>
    </row>
    <row r="16" spans="1:11" x14ac:dyDescent="0.35">
      <c r="A16" s="8">
        <v>12</v>
      </c>
      <c r="B16" s="1" t="s">
        <v>332</v>
      </c>
      <c r="C16" s="1" t="s">
        <v>15</v>
      </c>
      <c r="D16" s="17">
        <v>167</v>
      </c>
      <c r="E16" s="39">
        <v>44</v>
      </c>
      <c r="F16" s="39">
        <v>13</v>
      </c>
      <c r="G16" s="40">
        <v>-31</v>
      </c>
      <c r="H16" s="39">
        <v>4</v>
      </c>
      <c r="I16" s="39">
        <v>14</v>
      </c>
      <c r="J16" s="39">
        <v>4</v>
      </c>
      <c r="K16" s="40">
        <v>-10</v>
      </c>
    </row>
    <row r="17" spans="1:11" x14ac:dyDescent="0.35">
      <c r="D17" s="43">
        <f>D5+D7+D9+D10+D11+D12+D13+D14+D15+D16</f>
        <v>1652</v>
      </c>
      <c r="E17" s="43">
        <f t="shared" ref="E17:K17" si="0">E5+E7+E9+E10+E11+E12+E13+E14+E15+E16</f>
        <v>312</v>
      </c>
      <c r="F17" s="43">
        <f t="shared" si="0"/>
        <v>265</v>
      </c>
      <c r="G17" s="40">
        <f t="shared" si="0"/>
        <v>-47</v>
      </c>
      <c r="H17" s="43">
        <f t="shared" si="0"/>
        <v>93</v>
      </c>
      <c r="I17" s="43">
        <f t="shared" si="0"/>
        <v>123</v>
      </c>
      <c r="J17" s="43">
        <f t="shared" si="0"/>
        <v>122</v>
      </c>
      <c r="K17" s="40">
        <f t="shared" si="0"/>
        <v>-1</v>
      </c>
    </row>
    <row r="19" spans="1:11" ht="18.5" x14ac:dyDescent="0.45">
      <c r="B19" s="37" t="s">
        <v>352</v>
      </c>
    </row>
    <row r="20" spans="1:11" x14ac:dyDescent="0.35">
      <c r="A20" s="1"/>
      <c r="B20" s="1"/>
      <c r="C20" s="1"/>
      <c r="D20" s="31" t="s">
        <v>343</v>
      </c>
      <c r="E20" s="32"/>
      <c r="F20" s="32"/>
      <c r="G20" s="32"/>
      <c r="H20" s="32"/>
      <c r="I20" s="32"/>
      <c r="J20" s="32"/>
      <c r="K20" s="32"/>
    </row>
    <row r="21" spans="1:11" x14ac:dyDescent="0.35">
      <c r="A21" s="1"/>
      <c r="B21" s="1"/>
      <c r="C21" s="1"/>
      <c r="D21" s="23" t="s">
        <v>10</v>
      </c>
      <c r="E21" s="23"/>
      <c r="F21" s="23"/>
      <c r="G21" s="23"/>
      <c r="H21" s="24" t="s">
        <v>11</v>
      </c>
      <c r="I21" s="24"/>
      <c r="J21" s="24"/>
      <c r="K21" s="24"/>
    </row>
    <row r="22" spans="1:11" x14ac:dyDescent="0.35">
      <c r="A22" s="2" t="s">
        <v>5</v>
      </c>
      <c r="B22" s="3" t="s">
        <v>6</v>
      </c>
      <c r="C22" s="3" t="s">
        <v>8</v>
      </c>
      <c r="D22" s="5" t="s">
        <v>346</v>
      </c>
      <c r="E22" s="5" t="s">
        <v>2</v>
      </c>
      <c r="F22" s="5" t="s">
        <v>341</v>
      </c>
      <c r="G22" s="5" t="s">
        <v>347</v>
      </c>
      <c r="H22" s="6" t="s">
        <v>346</v>
      </c>
      <c r="I22" s="6" t="s">
        <v>2</v>
      </c>
      <c r="J22" s="6" t="s">
        <v>341</v>
      </c>
      <c r="K22" s="6" t="s">
        <v>347</v>
      </c>
    </row>
    <row r="23" spans="1:11" x14ac:dyDescent="0.35">
      <c r="A23" s="8">
        <v>1</v>
      </c>
      <c r="B23" s="1" t="s">
        <v>86</v>
      </c>
      <c r="C23" s="1" t="s">
        <v>15</v>
      </c>
      <c r="D23" s="17">
        <v>49</v>
      </c>
      <c r="E23" s="39">
        <v>31</v>
      </c>
      <c r="F23" s="17">
        <v>5</v>
      </c>
      <c r="G23" s="40">
        <v>-26</v>
      </c>
      <c r="H23" s="39">
        <v>0</v>
      </c>
      <c r="I23" s="19">
        <v>0</v>
      </c>
      <c r="J23" s="39">
        <v>0</v>
      </c>
      <c r="K23" s="40">
        <v>0</v>
      </c>
    </row>
    <row r="24" spans="1:11" x14ac:dyDescent="0.35">
      <c r="A24" s="8">
        <v>2</v>
      </c>
      <c r="B24" s="1" t="s">
        <v>110</v>
      </c>
      <c r="C24" s="1" t="s">
        <v>15</v>
      </c>
      <c r="D24" s="17">
        <v>154</v>
      </c>
      <c r="E24" s="39">
        <v>26</v>
      </c>
      <c r="F24" s="17">
        <v>15</v>
      </c>
      <c r="G24" s="40">
        <v>-11</v>
      </c>
      <c r="H24" s="39">
        <v>3</v>
      </c>
      <c r="I24" s="19">
        <v>0</v>
      </c>
      <c r="J24" s="19">
        <v>3</v>
      </c>
      <c r="K24" s="20">
        <v>3</v>
      </c>
    </row>
    <row r="25" spans="1:11" x14ac:dyDescent="0.35">
      <c r="A25" s="8">
        <v>3</v>
      </c>
      <c r="B25" s="1" t="s">
        <v>178</v>
      </c>
      <c r="C25" s="1" t="s">
        <v>61</v>
      </c>
      <c r="D25" s="41">
        <v>358</v>
      </c>
      <c r="E25" s="41">
        <v>100</v>
      </c>
      <c r="F25" s="41">
        <v>55</v>
      </c>
      <c r="G25" s="42">
        <v>-45</v>
      </c>
      <c r="H25" s="41">
        <v>9</v>
      </c>
      <c r="I25" s="41">
        <v>28</v>
      </c>
      <c r="J25" s="41">
        <v>9</v>
      </c>
      <c r="K25" s="42">
        <v>-19</v>
      </c>
    </row>
    <row r="26" spans="1:11" x14ac:dyDescent="0.35">
      <c r="A26" s="8">
        <v>4</v>
      </c>
      <c r="B26" s="1" t="s">
        <v>222</v>
      </c>
      <c r="C26" s="1" t="s">
        <v>15</v>
      </c>
      <c r="D26" s="17">
        <v>81</v>
      </c>
      <c r="E26" s="39">
        <v>26</v>
      </c>
      <c r="F26" s="17">
        <v>2</v>
      </c>
      <c r="G26" s="40">
        <v>-24</v>
      </c>
      <c r="H26" s="19">
        <v>5</v>
      </c>
      <c r="I26" s="39">
        <v>17</v>
      </c>
      <c r="J26" s="19">
        <v>5</v>
      </c>
      <c r="K26" s="40">
        <v>-12</v>
      </c>
    </row>
    <row r="27" spans="1:11" x14ac:dyDescent="0.35">
      <c r="A27" s="8">
        <v>5</v>
      </c>
      <c r="B27" s="1" t="s">
        <v>269</v>
      </c>
      <c r="C27" s="1" t="s">
        <v>15</v>
      </c>
      <c r="D27" s="17">
        <v>74</v>
      </c>
      <c r="E27" s="17">
        <v>17</v>
      </c>
      <c r="F27" s="17">
        <v>33</v>
      </c>
      <c r="G27" s="18">
        <v>16</v>
      </c>
      <c r="H27" s="39">
        <v>1</v>
      </c>
      <c r="I27" s="39">
        <v>11</v>
      </c>
      <c r="J27" s="19">
        <v>1</v>
      </c>
      <c r="K27" s="40">
        <v>-10</v>
      </c>
    </row>
    <row r="28" spans="1:11" x14ac:dyDescent="0.35">
      <c r="D28" s="43">
        <f>D23+D24+D26+D27</f>
        <v>358</v>
      </c>
      <c r="E28" s="43">
        <f t="shared" ref="E28:K28" si="1">E23+E24+E26+E27</f>
        <v>100</v>
      </c>
      <c r="F28" s="43">
        <f t="shared" si="1"/>
        <v>55</v>
      </c>
      <c r="G28" s="40">
        <f t="shared" si="1"/>
        <v>-45</v>
      </c>
      <c r="H28" s="43">
        <f t="shared" si="1"/>
        <v>9</v>
      </c>
      <c r="I28" s="43">
        <f t="shared" si="1"/>
        <v>28</v>
      </c>
      <c r="J28" s="43">
        <f t="shared" si="1"/>
        <v>9</v>
      </c>
      <c r="K28" s="40">
        <f t="shared" si="1"/>
        <v>-19</v>
      </c>
    </row>
    <row r="30" spans="1:11" ht="18.5" x14ac:dyDescent="0.45">
      <c r="B30" s="37" t="s">
        <v>353</v>
      </c>
    </row>
    <row r="31" spans="1:11" x14ac:dyDescent="0.35">
      <c r="A31" s="1"/>
      <c r="B31" s="1"/>
      <c r="C31" s="1"/>
      <c r="D31" s="31" t="s">
        <v>343</v>
      </c>
      <c r="E31" s="32"/>
      <c r="F31" s="32"/>
      <c r="G31" s="32"/>
      <c r="H31" s="32"/>
      <c r="I31" s="32"/>
      <c r="J31" s="32"/>
      <c r="K31" s="32"/>
    </row>
    <row r="32" spans="1:11" x14ac:dyDescent="0.35">
      <c r="A32" s="1"/>
      <c r="B32" s="1"/>
      <c r="C32" s="1"/>
      <c r="D32" s="23" t="s">
        <v>10</v>
      </c>
      <c r="E32" s="23"/>
      <c r="F32" s="23"/>
      <c r="G32" s="23"/>
      <c r="H32" s="24" t="s">
        <v>11</v>
      </c>
      <c r="I32" s="24"/>
      <c r="J32" s="24"/>
      <c r="K32" s="24"/>
    </row>
    <row r="33" spans="1:11" x14ac:dyDescent="0.35">
      <c r="A33" s="2" t="s">
        <v>5</v>
      </c>
      <c r="B33" s="3" t="s">
        <v>6</v>
      </c>
      <c r="C33" s="3" t="s">
        <v>8</v>
      </c>
      <c r="D33" s="5" t="s">
        <v>346</v>
      </c>
      <c r="E33" s="5" t="s">
        <v>2</v>
      </c>
      <c r="F33" s="5" t="s">
        <v>341</v>
      </c>
      <c r="G33" s="5" t="s">
        <v>347</v>
      </c>
      <c r="H33" s="6" t="s">
        <v>346</v>
      </c>
      <c r="I33" s="6" t="s">
        <v>2</v>
      </c>
      <c r="J33" s="6" t="s">
        <v>341</v>
      </c>
      <c r="K33" s="6" t="s">
        <v>347</v>
      </c>
    </row>
    <row r="34" spans="1:11" x14ac:dyDescent="0.35">
      <c r="A34" s="8">
        <v>1</v>
      </c>
      <c r="B34" s="1" t="s">
        <v>49</v>
      </c>
      <c r="C34" s="1" t="s">
        <v>15</v>
      </c>
      <c r="D34" s="17">
        <v>189</v>
      </c>
      <c r="E34" s="40">
        <v>64</v>
      </c>
      <c r="F34" s="40">
        <v>4</v>
      </c>
      <c r="G34" s="40">
        <v>-60</v>
      </c>
      <c r="H34" s="39">
        <v>0</v>
      </c>
      <c r="I34" s="19">
        <v>11</v>
      </c>
      <c r="J34" s="19">
        <v>6</v>
      </c>
      <c r="K34" s="20">
        <v>-5</v>
      </c>
    </row>
    <row r="35" spans="1:11" x14ac:dyDescent="0.35">
      <c r="A35" s="8">
        <v>2</v>
      </c>
      <c r="B35" s="1" t="s">
        <v>64</v>
      </c>
      <c r="C35" s="1" t="s">
        <v>15</v>
      </c>
      <c r="D35" s="17">
        <v>109</v>
      </c>
      <c r="E35" s="40">
        <v>76</v>
      </c>
      <c r="F35" s="17">
        <v>23</v>
      </c>
      <c r="G35" s="40">
        <v>-53</v>
      </c>
      <c r="H35" s="39">
        <v>1</v>
      </c>
      <c r="I35" s="19">
        <v>6</v>
      </c>
      <c r="J35" s="19">
        <v>7</v>
      </c>
      <c r="K35" s="20">
        <v>1</v>
      </c>
    </row>
    <row r="36" spans="1:11" x14ac:dyDescent="0.35">
      <c r="A36" s="8">
        <v>3</v>
      </c>
      <c r="B36" s="1" t="s">
        <v>69</v>
      </c>
      <c r="C36" s="1" t="s">
        <v>61</v>
      </c>
      <c r="D36" s="41">
        <v>965</v>
      </c>
      <c r="E36" s="41">
        <v>280</v>
      </c>
      <c r="F36" s="41">
        <v>180</v>
      </c>
      <c r="G36" s="42">
        <v>-100</v>
      </c>
      <c r="H36" s="41">
        <v>29</v>
      </c>
      <c r="I36" s="41">
        <v>79</v>
      </c>
      <c r="J36" s="41">
        <v>85</v>
      </c>
      <c r="K36" s="42">
        <v>6</v>
      </c>
    </row>
    <row r="37" spans="1:11" x14ac:dyDescent="0.35">
      <c r="A37" s="8">
        <v>4</v>
      </c>
      <c r="B37" s="1" t="s">
        <v>71</v>
      </c>
      <c r="C37" s="1" t="s">
        <v>15</v>
      </c>
      <c r="D37" s="17">
        <v>165</v>
      </c>
      <c r="E37" s="17">
        <v>28</v>
      </c>
      <c r="F37" s="17">
        <v>51</v>
      </c>
      <c r="G37" s="18">
        <v>23</v>
      </c>
      <c r="H37" s="19">
        <v>5</v>
      </c>
      <c r="I37" s="19">
        <v>12</v>
      </c>
      <c r="J37" s="19">
        <v>12</v>
      </c>
      <c r="K37" s="20">
        <v>0</v>
      </c>
    </row>
    <row r="38" spans="1:11" x14ac:dyDescent="0.35">
      <c r="A38" s="8">
        <v>5</v>
      </c>
      <c r="B38" s="1" t="s">
        <v>124</v>
      </c>
      <c r="C38" s="1" t="s">
        <v>61</v>
      </c>
      <c r="D38" s="41">
        <v>902</v>
      </c>
      <c r="E38" s="41">
        <v>310</v>
      </c>
      <c r="F38" s="41">
        <v>142</v>
      </c>
      <c r="G38" s="42">
        <v>-168</v>
      </c>
      <c r="H38" s="41">
        <v>10</v>
      </c>
      <c r="I38" s="41">
        <v>63</v>
      </c>
      <c r="J38" s="41">
        <v>42</v>
      </c>
      <c r="K38" s="42">
        <v>-21</v>
      </c>
    </row>
    <row r="39" spans="1:11" x14ac:dyDescent="0.35">
      <c r="A39" s="8">
        <v>6</v>
      </c>
      <c r="B39" s="1" t="s">
        <v>134</v>
      </c>
      <c r="C39" s="1" t="s">
        <v>15</v>
      </c>
      <c r="D39" s="17">
        <v>155</v>
      </c>
      <c r="E39" s="40">
        <v>85</v>
      </c>
      <c r="F39" s="40">
        <v>6</v>
      </c>
      <c r="G39" s="40">
        <v>-79</v>
      </c>
      <c r="H39" s="39">
        <v>1</v>
      </c>
      <c r="I39" s="19">
        <v>5</v>
      </c>
      <c r="J39" s="19">
        <v>6</v>
      </c>
      <c r="K39" s="20">
        <v>1</v>
      </c>
    </row>
    <row r="40" spans="1:11" x14ac:dyDescent="0.35">
      <c r="A40" s="8">
        <v>7</v>
      </c>
      <c r="B40" s="1" t="s">
        <v>138</v>
      </c>
      <c r="C40" s="1" t="s">
        <v>15</v>
      </c>
      <c r="D40" s="17">
        <v>148</v>
      </c>
      <c r="E40" s="40">
        <v>99</v>
      </c>
      <c r="F40" s="17">
        <v>44</v>
      </c>
      <c r="G40" s="18">
        <v>-55</v>
      </c>
      <c r="H40" s="39">
        <v>2</v>
      </c>
      <c r="I40" s="19">
        <v>3</v>
      </c>
      <c r="J40" s="19">
        <v>10</v>
      </c>
      <c r="K40" s="20">
        <v>7</v>
      </c>
    </row>
    <row r="41" spans="1:11" x14ac:dyDescent="0.35">
      <c r="A41" s="8">
        <v>8</v>
      </c>
      <c r="B41" s="1" t="s">
        <v>170</v>
      </c>
      <c r="C41" s="1" t="s">
        <v>15</v>
      </c>
      <c r="D41" s="17">
        <v>167</v>
      </c>
      <c r="E41" s="17">
        <v>20</v>
      </c>
      <c r="F41" s="17">
        <v>40</v>
      </c>
      <c r="G41" s="40">
        <v>20</v>
      </c>
      <c r="H41" s="39">
        <v>2</v>
      </c>
      <c r="I41" s="19">
        <v>12</v>
      </c>
      <c r="J41" s="19">
        <v>9</v>
      </c>
      <c r="K41" s="20">
        <v>-3</v>
      </c>
    </row>
    <row r="42" spans="1:11" x14ac:dyDescent="0.35">
      <c r="A42" s="8">
        <v>9</v>
      </c>
      <c r="B42" s="1" t="s">
        <v>198</v>
      </c>
      <c r="C42" s="1" t="s">
        <v>15</v>
      </c>
      <c r="D42" s="17">
        <v>189</v>
      </c>
      <c r="E42" s="40">
        <v>80</v>
      </c>
      <c r="F42" s="17">
        <v>28</v>
      </c>
      <c r="G42" s="40">
        <v>-52</v>
      </c>
      <c r="H42" s="39">
        <v>1</v>
      </c>
      <c r="I42" s="39">
        <v>29</v>
      </c>
      <c r="J42" s="19">
        <v>9</v>
      </c>
      <c r="K42" s="40">
        <v>-20</v>
      </c>
    </row>
    <row r="43" spans="1:11" x14ac:dyDescent="0.35">
      <c r="A43" s="8">
        <v>10</v>
      </c>
      <c r="B43" s="1" t="s">
        <v>218</v>
      </c>
      <c r="C43" s="1" t="s">
        <v>15</v>
      </c>
      <c r="D43" s="17">
        <v>135</v>
      </c>
      <c r="E43" s="17">
        <v>42</v>
      </c>
      <c r="F43" s="17">
        <v>22</v>
      </c>
      <c r="G43" s="18">
        <v>-20</v>
      </c>
      <c r="H43" s="19">
        <v>4</v>
      </c>
      <c r="I43" s="19">
        <v>7</v>
      </c>
      <c r="J43" s="19">
        <v>6</v>
      </c>
      <c r="K43" s="20">
        <v>-1</v>
      </c>
    </row>
    <row r="44" spans="1:11" x14ac:dyDescent="0.35">
      <c r="A44" s="8">
        <v>11</v>
      </c>
      <c r="B44" s="1" t="s">
        <v>245</v>
      </c>
      <c r="C44" s="1" t="s">
        <v>15</v>
      </c>
      <c r="D44" s="17">
        <v>166</v>
      </c>
      <c r="E44" s="17">
        <v>38</v>
      </c>
      <c r="F44" s="17">
        <v>35</v>
      </c>
      <c r="G44" s="18">
        <v>-3</v>
      </c>
      <c r="H44" s="39">
        <v>2</v>
      </c>
      <c r="I44" s="39">
        <v>21</v>
      </c>
      <c r="J44" s="19">
        <v>5</v>
      </c>
      <c r="K44" s="40">
        <v>-16</v>
      </c>
    </row>
    <row r="45" spans="1:11" x14ac:dyDescent="0.35">
      <c r="A45" s="8">
        <v>12</v>
      </c>
      <c r="B45" s="1" t="s">
        <v>259</v>
      </c>
      <c r="C45" s="1" t="s">
        <v>15</v>
      </c>
      <c r="D45" s="17">
        <v>124</v>
      </c>
      <c r="E45" s="17">
        <v>48</v>
      </c>
      <c r="F45" s="17">
        <v>46</v>
      </c>
      <c r="G45" s="18">
        <v>-2</v>
      </c>
      <c r="H45" s="19">
        <v>7</v>
      </c>
      <c r="I45" s="19">
        <v>5</v>
      </c>
      <c r="J45" s="19">
        <v>13</v>
      </c>
      <c r="K45" s="20">
        <v>8</v>
      </c>
    </row>
    <row r="46" spans="1:11" x14ac:dyDescent="0.35">
      <c r="A46" s="8">
        <v>13</v>
      </c>
      <c r="B46" s="1" t="s">
        <v>275</v>
      </c>
      <c r="C46" s="1" t="s">
        <v>15</v>
      </c>
      <c r="D46" s="17">
        <v>163</v>
      </c>
      <c r="E46" s="17">
        <v>18</v>
      </c>
      <c r="F46" s="17">
        <v>29</v>
      </c>
      <c r="G46" s="18">
        <v>11</v>
      </c>
      <c r="H46" s="19">
        <v>12</v>
      </c>
      <c r="I46" s="39">
        <v>15</v>
      </c>
      <c r="J46" s="19">
        <v>39</v>
      </c>
      <c r="K46" s="20">
        <v>24</v>
      </c>
    </row>
    <row r="47" spans="1:11" x14ac:dyDescent="0.35">
      <c r="A47" s="8">
        <v>14</v>
      </c>
      <c r="B47" s="1" t="s">
        <v>289</v>
      </c>
      <c r="C47" s="1" t="s">
        <v>15</v>
      </c>
      <c r="D47" s="17">
        <v>151</v>
      </c>
      <c r="E47" s="40">
        <v>79</v>
      </c>
      <c r="F47" s="40">
        <v>17</v>
      </c>
      <c r="G47" s="40">
        <v>-62</v>
      </c>
      <c r="H47" s="39">
        <v>1</v>
      </c>
      <c r="I47" s="19">
        <v>9</v>
      </c>
      <c r="J47" s="19">
        <v>7</v>
      </c>
      <c r="K47" s="20">
        <v>-2</v>
      </c>
    </row>
    <row r="48" spans="1:11" x14ac:dyDescent="0.35">
      <c r="A48" s="8">
        <v>15</v>
      </c>
      <c r="B48" s="1" t="s">
        <v>316</v>
      </c>
      <c r="C48" s="1" t="s">
        <v>15</v>
      </c>
      <c r="D48" s="17">
        <v>154</v>
      </c>
      <c r="E48" s="17">
        <v>12</v>
      </c>
      <c r="F48" s="17">
        <v>21</v>
      </c>
      <c r="G48" s="18">
        <v>9</v>
      </c>
      <c r="H48" s="39">
        <v>3</v>
      </c>
      <c r="I48" s="19">
        <v>10</v>
      </c>
      <c r="J48" s="19">
        <v>8</v>
      </c>
      <c r="K48" s="20">
        <v>-2</v>
      </c>
    </row>
    <row r="49" spans="1:11" x14ac:dyDescent="0.35">
      <c r="D49" s="43">
        <f>D34+D35+D37+D40++D39+D41+D42+D43+D44+D45+D46+D47+D48</f>
        <v>2015</v>
      </c>
      <c r="E49" s="43">
        <f t="shared" ref="E49:K49" si="2">E34+E35+E37+E40++E39+E41+E42+E43+E44+E45+E46+E47+E48</f>
        <v>689</v>
      </c>
      <c r="F49" s="43">
        <f t="shared" si="2"/>
        <v>366</v>
      </c>
      <c r="G49" s="40">
        <f t="shared" si="2"/>
        <v>-323</v>
      </c>
      <c r="H49" s="43">
        <f t="shared" si="2"/>
        <v>41</v>
      </c>
      <c r="I49" s="43">
        <f t="shared" si="2"/>
        <v>145</v>
      </c>
      <c r="J49" s="43">
        <f t="shared" si="2"/>
        <v>137</v>
      </c>
      <c r="K49" s="40">
        <f t="shared" si="2"/>
        <v>-8</v>
      </c>
    </row>
    <row r="51" spans="1:11" ht="18.5" x14ac:dyDescent="0.45">
      <c r="B51" s="37" t="s">
        <v>354</v>
      </c>
    </row>
    <row r="52" spans="1:11" x14ac:dyDescent="0.35">
      <c r="A52" s="1"/>
      <c r="B52" s="1"/>
      <c r="C52" s="1"/>
      <c r="D52" s="31" t="s">
        <v>343</v>
      </c>
      <c r="E52" s="32"/>
      <c r="F52" s="32"/>
      <c r="G52" s="32"/>
      <c r="H52" s="32"/>
      <c r="I52" s="32"/>
      <c r="J52" s="32"/>
      <c r="K52" s="32"/>
    </row>
    <row r="53" spans="1:11" x14ac:dyDescent="0.35">
      <c r="A53" s="1"/>
      <c r="B53" s="1"/>
      <c r="C53" s="1"/>
      <c r="D53" s="23" t="s">
        <v>10</v>
      </c>
      <c r="E53" s="23"/>
      <c r="F53" s="23"/>
      <c r="G53" s="23"/>
      <c r="H53" s="24" t="s">
        <v>11</v>
      </c>
      <c r="I53" s="24"/>
      <c r="J53" s="24"/>
      <c r="K53" s="24"/>
    </row>
    <row r="54" spans="1:11" x14ac:dyDescent="0.35">
      <c r="A54" s="2" t="s">
        <v>5</v>
      </c>
      <c r="B54" s="3" t="s">
        <v>6</v>
      </c>
      <c r="C54" s="3" t="s">
        <v>8</v>
      </c>
      <c r="D54" s="5" t="s">
        <v>346</v>
      </c>
      <c r="E54" s="5" t="s">
        <v>2</v>
      </c>
      <c r="F54" s="5" t="s">
        <v>341</v>
      </c>
      <c r="G54" s="5" t="s">
        <v>347</v>
      </c>
      <c r="H54" s="6" t="s">
        <v>346</v>
      </c>
      <c r="I54" s="6" t="s">
        <v>2</v>
      </c>
      <c r="J54" s="6" t="s">
        <v>341</v>
      </c>
      <c r="K54" s="6" t="s">
        <v>347</v>
      </c>
    </row>
    <row r="55" spans="1:11" x14ac:dyDescent="0.35">
      <c r="A55" s="8">
        <v>1</v>
      </c>
      <c r="B55" s="1" t="s">
        <v>228</v>
      </c>
      <c r="C55" s="1" t="s">
        <v>61</v>
      </c>
      <c r="D55" s="17">
        <v>620</v>
      </c>
      <c r="E55" s="17">
        <v>197</v>
      </c>
      <c r="F55" s="17">
        <v>207</v>
      </c>
      <c r="G55" s="18">
        <v>10</v>
      </c>
      <c r="H55" s="19">
        <v>8</v>
      </c>
      <c r="I55" s="19">
        <v>26</v>
      </c>
      <c r="J55" s="19">
        <v>35</v>
      </c>
      <c r="K55" s="20">
        <v>9</v>
      </c>
    </row>
    <row r="56" spans="1:11" x14ac:dyDescent="0.35">
      <c r="D56" s="43">
        <f>D55</f>
        <v>620</v>
      </c>
      <c r="E56" s="43">
        <f t="shared" ref="E56:K56" si="3">E55</f>
        <v>197</v>
      </c>
      <c r="F56" s="43">
        <f t="shared" si="3"/>
        <v>207</v>
      </c>
      <c r="G56" s="43">
        <f t="shared" si="3"/>
        <v>10</v>
      </c>
      <c r="H56" s="43">
        <f t="shared" si="3"/>
        <v>8</v>
      </c>
      <c r="I56" s="43">
        <f t="shared" si="3"/>
        <v>26</v>
      </c>
      <c r="J56" s="43">
        <f t="shared" si="3"/>
        <v>35</v>
      </c>
      <c r="K56" s="43">
        <f t="shared" si="3"/>
        <v>9</v>
      </c>
    </row>
    <row r="58" spans="1:11" ht="18.5" x14ac:dyDescent="0.45">
      <c r="B58" s="37" t="s">
        <v>355</v>
      </c>
    </row>
    <row r="59" spans="1:11" x14ac:dyDescent="0.35">
      <c r="A59" s="1"/>
      <c r="B59" s="1"/>
      <c r="C59" s="1"/>
      <c r="D59" s="31" t="s">
        <v>343</v>
      </c>
      <c r="E59" s="32"/>
      <c r="F59" s="32"/>
      <c r="G59" s="32"/>
      <c r="H59" s="32"/>
      <c r="I59" s="32"/>
      <c r="J59" s="32"/>
      <c r="K59" s="32"/>
    </row>
    <row r="60" spans="1:11" x14ac:dyDescent="0.35">
      <c r="A60" s="1"/>
      <c r="B60" s="1"/>
      <c r="C60" s="1"/>
      <c r="D60" s="23" t="s">
        <v>10</v>
      </c>
      <c r="E60" s="23"/>
      <c r="F60" s="23"/>
      <c r="G60" s="23"/>
      <c r="H60" s="24" t="s">
        <v>11</v>
      </c>
      <c r="I60" s="24"/>
      <c r="J60" s="24"/>
      <c r="K60" s="24"/>
    </row>
    <row r="61" spans="1:11" x14ac:dyDescent="0.35">
      <c r="A61" s="2" t="s">
        <v>5</v>
      </c>
      <c r="B61" s="3" t="s">
        <v>6</v>
      </c>
      <c r="C61" s="3" t="s">
        <v>8</v>
      </c>
      <c r="D61" s="5" t="s">
        <v>346</v>
      </c>
      <c r="E61" s="5" t="s">
        <v>2</v>
      </c>
      <c r="F61" s="5" t="s">
        <v>341</v>
      </c>
      <c r="G61" s="5" t="s">
        <v>347</v>
      </c>
      <c r="H61" s="6" t="s">
        <v>346</v>
      </c>
      <c r="I61" s="6" t="s">
        <v>2</v>
      </c>
      <c r="J61" s="6" t="s">
        <v>341</v>
      </c>
      <c r="K61" s="6" t="s">
        <v>347</v>
      </c>
    </row>
    <row r="62" spans="1:11" x14ac:dyDescent="0.35">
      <c r="A62" s="8">
        <v>1</v>
      </c>
      <c r="B62" s="1" t="s">
        <v>66</v>
      </c>
      <c r="C62" s="1" t="s">
        <v>15</v>
      </c>
      <c r="D62" s="17">
        <v>139</v>
      </c>
      <c r="E62" s="17">
        <v>21</v>
      </c>
      <c r="F62" s="17">
        <v>22</v>
      </c>
      <c r="G62" s="18">
        <v>1</v>
      </c>
      <c r="H62" s="39">
        <v>1</v>
      </c>
      <c r="I62" s="39">
        <v>30</v>
      </c>
      <c r="J62" s="19">
        <v>6</v>
      </c>
      <c r="K62" s="40">
        <v>-24</v>
      </c>
    </row>
    <row r="63" spans="1:11" x14ac:dyDescent="0.35">
      <c r="A63" s="8">
        <v>2</v>
      </c>
      <c r="B63" s="1" t="s">
        <v>75</v>
      </c>
      <c r="C63" s="1" t="s">
        <v>15</v>
      </c>
      <c r="D63" s="17">
        <v>147</v>
      </c>
      <c r="E63" s="39">
        <v>40</v>
      </c>
      <c r="F63" s="17">
        <v>29</v>
      </c>
      <c r="G63" s="40">
        <v>-11</v>
      </c>
      <c r="H63" s="39">
        <v>4</v>
      </c>
      <c r="I63" s="39">
        <v>24</v>
      </c>
      <c r="J63" s="19">
        <v>8</v>
      </c>
      <c r="K63" s="40">
        <v>-16</v>
      </c>
    </row>
    <row r="64" spans="1:11" x14ac:dyDescent="0.35">
      <c r="A64" s="8">
        <v>3</v>
      </c>
      <c r="B64" s="1" t="s">
        <v>114</v>
      </c>
      <c r="C64" s="1" t="s">
        <v>15</v>
      </c>
      <c r="D64" s="17">
        <v>163</v>
      </c>
      <c r="E64" s="39">
        <v>31</v>
      </c>
      <c r="F64" s="17">
        <v>27</v>
      </c>
      <c r="G64" s="18">
        <v>-4</v>
      </c>
      <c r="H64" s="39">
        <v>2</v>
      </c>
      <c r="I64" s="19">
        <v>6</v>
      </c>
      <c r="J64" s="19">
        <v>6</v>
      </c>
      <c r="K64" s="20">
        <v>0</v>
      </c>
    </row>
    <row r="65" spans="1:11" x14ac:dyDescent="0.35">
      <c r="A65" s="8">
        <v>4</v>
      </c>
      <c r="B65" s="1" t="s">
        <v>116</v>
      </c>
      <c r="C65" s="1" t="s">
        <v>15</v>
      </c>
      <c r="D65" s="17">
        <v>165</v>
      </c>
      <c r="E65" s="17">
        <v>19</v>
      </c>
      <c r="F65" s="17">
        <v>26</v>
      </c>
      <c r="G65" s="18">
        <v>7</v>
      </c>
      <c r="H65" s="39">
        <v>6</v>
      </c>
      <c r="I65" s="19">
        <v>19</v>
      </c>
      <c r="J65" s="19">
        <v>10</v>
      </c>
      <c r="K65" s="20">
        <v>-9</v>
      </c>
    </row>
    <row r="66" spans="1:11" x14ac:dyDescent="0.35">
      <c r="A66" s="8">
        <v>5</v>
      </c>
      <c r="B66" s="1" t="s">
        <v>194</v>
      </c>
      <c r="C66" s="1" t="s">
        <v>15</v>
      </c>
      <c r="D66" s="17">
        <v>153</v>
      </c>
      <c r="E66" s="39">
        <v>52</v>
      </c>
      <c r="F66" s="17">
        <v>40</v>
      </c>
      <c r="G66" s="40">
        <v>-12</v>
      </c>
      <c r="H66" s="39">
        <v>6</v>
      </c>
      <c r="I66" s="19">
        <v>10</v>
      </c>
      <c r="J66" s="19">
        <v>9</v>
      </c>
      <c r="K66" s="20">
        <v>-1</v>
      </c>
    </row>
    <row r="67" spans="1:11" x14ac:dyDescent="0.35">
      <c r="A67" s="8">
        <v>6</v>
      </c>
      <c r="B67" s="1" t="s">
        <v>202</v>
      </c>
      <c r="C67" s="1" t="s">
        <v>15</v>
      </c>
      <c r="D67" s="17">
        <v>117</v>
      </c>
      <c r="E67" s="17">
        <v>19</v>
      </c>
      <c r="F67" s="17">
        <v>24</v>
      </c>
      <c r="G67" s="18">
        <v>5</v>
      </c>
      <c r="H67" s="19">
        <v>18</v>
      </c>
      <c r="I67" s="39">
        <v>39</v>
      </c>
      <c r="J67" s="19">
        <v>26</v>
      </c>
      <c r="K67" s="40">
        <v>-13</v>
      </c>
    </row>
    <row r="68" spans="1:11" x14ac:dyDescent="0.35">
      <c r="A68" s="8">
        <v>7</v>
      </c>
      <c r="B68" s="1" t="s">
        <v>279</v>
      </c>
      <c r="C68" s="1" t="s">
        <v>61</v>
      </c>
      <c r="D68" s="41">
        <v>999</v>
      </c>
      <c r="E68" s="41">
        <v>204</v>
      </c>
      <c r="F68" s="41">
        <v>206</v>
      </c>
      <c r="G68" s="42">
        <v>2</v>
      </c>
      <c r="H68" s="41">
        <v>44</v>
      </c>
      <c r="I68" s="41">
        <v>119</v>
      </c>
      <c r="J68" s="41">
        <v>72</v>
      </c>
      <c r="K68" s="42">
        <v>-47</v>
      </c>
    </row>
    <row r="69" spans="1:11" x14ac:dyDescent="0.35">
      <c r="A69" s="8">
        <v>8</v>
      </c>
      <c r="B69" s="1" t="s">
        <v>287</v>
      </c>
      <c r="C69" s="1" t="s">
        <v>15</v>
      </c>
      <c r="D69" s="17">
        <v>123</v>
      </c>
      <c r="E69" s="17">
        <v>27</v>
      </c>
      <c r="F69" s="17">
        <v>21</v>
      </c>
      <c r="G69" s="40">
        <v>-6</v>
      </c>
      <c r="H69" s="19">
        <v>10</v>
      </c>
      <c r="I69" s="19">
        <v>4</v>
      </c>
      <c r="J69" s="19">
        <v>11</v>
      </c>
      <c r="K69" s="20">
        <v>7</v>
      </c>
    </row>
    <row r="70" spans="1:11" x14ac:dyDescent="0.35">
      <c r="A70" s="8">
        <v>9</v>
      </c>
      <c r="B70" s="1" t="s">
        <v>304</v>
      </c>
      <c r="C70" s="1" t="s">
        <v>15</v>
      </c>
      <c r="D70" s="17">
        <v>139</v>
      </c>
      <c r="E70" s="39">
        <v>35</v>
      </c>
      <c r="F70" s="17">
        <v>46</v>
      </c>
      <c r="G70" s="18">
        <v>11</v>
      </c>
      <c r="H70" s="39">
        <v>1</v>
      </c>
      <c r="I70" s="19">
        <v>11</v>
      </c>
      <c r="J70" s="19">
        <v>4</v>
      </c>
      <c r="K70" s="40">
        <v>-7</v>
      </c>
    </row>
    <row r="71" spans="1:11" x14ac:dyDescent="0.35">
      <c r="D71" s="43">
        <f>D62+D63+D64+D65+D66+D67+D69+D70</f>
        <v>1146</v>
      </c>
      <c r="E71" s="43">
        <f t="shared" ref="E71:K71" si="4">E62+E63+E64+E65+E66+E67+E69+E70</f>
        <v>244</v>
      </c>
      <c r="F71" s="43">
        <f t="shared" si="4"/>
        <v>235</v>
      </c>
      <c r="G71" s="40">
        <f t="shared" si="4"/>
        <v>-9</v>
      </c>
      <c r="H71" s="43">
        <f t="shared" si="4"/>
        <v>48</v>
      </c>
      <c r="I71" s="43">
        <f t="shared" si="4"/>
        <v>143</v>
      </c>
      <c r="J71" s="43">
        <f t="shared" si="4"/>
        <v>80</v>
      </c>
      <c r="K71" s="40">
        <f t="shared" si="4"/>
        <v>-63</v>
      </c>
    </row>
    <row r="73" spans="1:11" ht="18.5" x14ac:dyDescent="0.45">
      <c r="B73" s="37" t="s">
        <v>356</v>
      </c>
    </row>
    <row r="74" spans="1:11" x14ac:dyDescent="0.35">
      <c r="A74" s="1"/>
      <c r="B74" s="1"/>
      <c r="C74" s="1"/>
      <c r="D74" s="31" t="s">
        <v>343</v>
      </c>
      <c r="E74" s="32"/>
      <c r="F74" s="32"/>
      <c r="G74" s="32"/>
      <c r="H74" s="32"/>
      <c r="I74" s="32"/>
      <c r="J74" s="32"/>
      <c r="K74" s="32"/>
    </row>
    <row r="75" spans="1:11" x14ac:dyDescent="0.35">
      <c r="A75" s="1"/>
      <c r="B75" s="1"/>
      <c r="C75" s="1"/>
      <c r="D75" s="23" t="s">
        <v>10</v>
      </c>
      <c r="E75" s="23"/>
      <c r="F75" s="23"/>
      <c r="G75" s="23"/>
      <c r="H75" s="24" t="s">
        <v>11</v>
      </c>
      <c r="I75" s="24"/>
      <c r="J75" s="24"/>
      <c r="K75" s="24"/>
    </row>
    <row r="76" spans="1:11" x14ac:dyDescent="0.35">
      <c r="A76" s="2" t="s">
        <v>5</v>
      </c>
      <c r="B76" s="3" t="s">
        <v>6</v>
      </c>
      <c r="C76" s="3" t="s">
        <v>8</v>
      </c>
      <c r="D76" s="5" t="s">
        <v>346</v>
      </c>
      <c r="E76" s="5" t="s">
        <v>2</v>
      </c>
      <c r="F76" s="5" t="s">
        <v>341</v>
      </c>
      <c r="G76" s="5" t="s">
        <v>347</v>
      </c>
      <c r="H76" s="6" t="s">
        <v>346</v>
      </c>
      <c r="I76" s="6" t="s">
        <v>2</v>
      </c>
      <c r="J76" s="6" t="s">
        <v>341</v>
      </c>
      <c r="K76" s="6" t="s">
        <v>347</v>
      </c>
    </row>
    <row r="77" spans="1:11" x14ac:dyDescent="0.35">
      <c r="A77" s="8">
        <v>1</v>
      </c>
      <c r="B77" s="1" t="s">
        <v>155</v>
      </c>
      <c r="C77" s="1" t="s">
        <v>61</v>
      </c>
      <c r="D77" s="17">
        <v>693</v>
      </c>
      <c r="E77" s="17">
        <v>231</v>
      </c>
      <c r="F77" s="17">
        <v>167</v>
      </c>
      <c r="G77" s="40">
        <v>-64</v>
      </c>
      <c r="H77" s="19">
        <v>18</v>
      </c>
      <c r="I77" s="19">
        <v>66</v>
      </c>
      <c r="J77" s="19">
        <v>39</v>
      </c>
      <c r="K77" s="40">
        <v>-27</v>
      </c>
    </row>
    <row r="78" spans="1:11" x14ac:dyDescent="0.35">
      <c r="D78" s="44">
        <v>693</v>
      </c>
      <c r="E78" s="44">
        <v>231</v>
      </c>
      <c r="F78" s="44">
        <v>167</v>
      </c>
      <c r="G78" s="40">
        <v>-64</v>
      </c>
      <c r="H78" s="44">
        <v>18</v>
      </c>
      <c r="I78" s="44">
        <v>66</v>
      </c>
      <c r="J78" s="44">
        <v>39</v>
      </c>
      <c r="K78" s="40">
        <v>-27</v>
      </c>
    </row>
    <row r="80" spans="1:11" ht="18.5" x14ac:dyDescent="0.45">
      <c r="B80" s="37" t="s">
        <v>358</v>
      </c>
    </row>
    <row r="81" spans="1:11" x14ac:dyDescent="0.35">
      <c r="A81" s="1"/>
      <c r="B81" s="1"/>
      <c r="C81" s="1"/>
      <c r="D81" s="31" t="s">
        <v>343</v>
      </c>
      <c r="E81" s="32"/>
      <c r="F81" s="32"/>
      <c r="G81" s="32"/>
      <c r="H81" s="32"/>
      <c r="I81" s="32"/>
      <c r="J81" s="32"/>
      <c r="K81" s="32"/>
    </row>
    <row r="82" spans="1:11" x14ac:dyDescent="0.35">
      <c r="A82" s="1"/>
      <c r="B82" s="1"/>
      <c r="C82" s="1"/>
      <c r="D82" s="23" t="s">
        <v>10</v>
      </c>
      <c r="E82" s="23"/>
      <c r="F82" s="23"/>
      <c r="G82" s="23"/>
      <c r="H82" s="24" t="s">
        <v>11</v>
      </c>
      <c r="I82" s="24"/>
      <c r="J82" s="24"/>
      <c r="K82" s="24"/>
    </row>
    <row r="83" spans="1:11" x14ac:dyDescent="0.35">
      <c r="A83" s="2" t="s">
        <v>5</v>
      </c>
      <c r="B83" s="3" t="s">
        <v>6</v>
      </c>
      <c r="C83" s="3" t="s">
        <v>8</v>
      </c>
      <c r="D83" s="5" t="s">
        <v>346</v>
      </c>
      <c r="E83" s="5" t="s">
        <v>2</v>
      </c>
      <c r="F83" s="5" t="s">
        <v>341</v>
      </c>
      <c r="G83" s="5" t="s">
        <v>347</v>
      </c>
      <c r="H83" s="6" t="s">
        <v>346</v>
      </c>
      <c r="I83" s="6" t="s">
        <v>2</v>
      </c>
      <c r="J83" s="6" t="s">
        <v>341</v>
      </c>
      <c r="K83" s="6" t="s">
        <v>347</v>
      </c>
    </row>
    <row r="84" spans="1:11" x14ac:dyDescent="0.35">
      <c r="A84" s="8">
        <v>1</v>
      </c>
      <c r="B84" s="1" t="s">
        <v>24</v>
      </c>
      <c r="C84" s="1" t="s">
        <v>15</v>
      </c>
      <c r="D84" s="17">
        <v>124</v>
      </c>
      <c r="E84" s="17">
        <v>16</v>
      </c>
      <c r="F84" s="17">
        <v>17</v>
      </c>
      <c r="G84" s="18">
        <v>1</v>
      </c>
      <c r="H84" s="39">
        <v>1</v>
      </c>
      <c r="I84" s="19">
        <v>2</v>
      </c>
      <c r="J84" s="19">
        <v>3</v>
      </c>
      <c r="K84" s="20">
        <v>1</v>
      </c>
    </row>
    <row r="85" spans="1:11" x14ac:dyDescent="0.35">
      <c r="A85" s="8">
        <v>2</v>
      </c>
      <c r="B85" s="1" t="s">
        <v>204</v>
      </c>
      <c r="C85" s="1" t="s">
        <v>15</v>
      </c>
      <c r="D85" s="17">
        <v>157</v>
      </c>
      <c r="E85" s="39">
        <v>22</v>
      </c>
      <c r="F85" s="17">
        <v>18</v>
      </c>
      <c r="G85" s="40">
        <v>-4</v>
      </c>
      <c r="H85" s="19">
        <v>4</v>
      </c>
      <c r="I85" s="19">
        <v>2</v>
      </c>
      <c r="J85" s="19">
        <v>4</v>
      </c>
      <c r="K85" s="20">
        <v>2</v>
      </c>
    </row>
    <row r="86" spans="1:11" x14ac:dyDescent="0.35">
      <c r="A86" s="8">
        <v>3</v>
      </c>
      <c r="B86" s="1" t="s">
        <v>306</v>
      </c>
      <c r="C86" s="1" t="s">
        <v>15</v>
      </c>
      <c r="D86" s="17">
        <v>89</v>
      </c>
      <c r="E86" s="39">
        <v>41</v>
      </c>
      <c r="F86" s="17">
        <v>13</v>
      </c>
      <c r="G86" s="40">
        <v>-28</v>
      </c>
      <c r="H86" s="39">
        <v>1</v>
      </c>
      <c r="I86" s="39">
        <v>19</v>
      </c>
      <c r="J86" s="38">
        <v>1</v>
      </c>
      <c r="K86" s="40">
        <v>-18</v>
      </c>
    </row>
    <row r="87" spans="1:11" x14ac:dyDescent="0.35">
      <c r="D87" s="43">
        <f>D84+D85+D86</f>
        <v>370</v>
      </c>
      <c r="E87" s="43">
        <f t="shared" ref="E87:K87" si="5">E84+E85+E86</f>
        <v>79</v>
      </c>
      <c r="F87" s="43">
        <f t="shared" si="5"/>
        <v>48</v>
      </c>
      <c r="G87" s="40">
        <f t="shared" si="5"/>
        <v>-31</v>
      </c>
      <c r="H87" s="43">
        <f t="shared" si="5"/>
        <v>6</v>
      </c>
      <c r="I87" s="43">
        <f t="shared" si="5"/>
        <v>23</v>
      </c>
      <c r="J87" s="43">
        <f t="shared" si="5"/>
        <v>8</v>
      </c>
      <c r="K87" s="40">
        <f t="shared" si="5"/>
        <v>-15</v>
      </c>
    </row>
    <row r="88" spans="1:11" s="46" customFormat="1" x14ac:dyDescent="0.35">
      <c r="A88" s="45"/>
      <c r="D88" s="47"/>
      <c r="E88" s="47"/>
      <c r="F88" s="47"/>
      <c r="G88" s="47"/>
      <c r="H88" s="47"/>
      <c r="I88" s="47"/>
      <c r="J88" s="47"/>
      <c r="K88" s="47"/>
    </row>
    <row r="89" spans="1:11" ht="18.5" x14ac:dyDescent="0.45">
      <c r="B89" s="37" t="s">
        <v>359</v>
      </c>
    </row>
    <row r="90" spans="1:11" x14ac:dyDescent="0.35">
      <c r="A90" s="1"/>
      <c r="B90" s="1"/>
      <c r="C90" s="1"/>
      <c r="D90" s="31" t="s">
        <v>343</v>
      </c>
      <c r="E90" s="32"/>
      <c r="F90" s="32"/>
      <c r="G90" s="32"/>
      <c r="H90" s="32"/>
      <c r="I90" s="32"/>
      <c r="J90" s="32"/>
      <c r="K90" s="32"/>
    </row>
    <row r="91" spans="1:11" x14ac:dyDescent="0.35">
      <c r="A91" s="1"/>
      <c r="B91" s="1"/>
      <c r="C91" s="1"/>
      <c r="D91" s="23" t="s">
        <v>10</v>
      </c>
      <c r="E91" s="23"/>
      <c r="F91" s="23"/>
      <c r="G91" s="23"/>
      <c r="H91" s="24" t="s">
        <v>11</v>
      </c>
      <c r="I91" s="24"/>
      <c r="J91" s="24"/>
      <c r="K91" s="24"/>
    </row>
    <row r="92" spans="1:11" x14ac:dyDescent="0.35">
      <c r="A92" s="2" t="s">
        <v>5</v>
      </c>
      <c r="B92" s="3" t="s">
        <v>6</v>
      </c>
      <c r="C92" s="3" t="s">
        <v>8</v>
      </c>
      <c r="D92" s="5" t="s">
        <v>346</v>
      </c>
      <c r="E92" s="5" t="s">
        <v>2</v>
      </c>
      <c r="F92" s="5" t="s">
        <v>341</v>
      </c>
      <c r="G92" s="5" t="s">
        <v>347</v>
      </c>
      <c r="H92" s="6" t="s">
        <v>346</v>
      </c>
      <c r="I92" s="6" t="s">
        <v>2</v>
      </c>
      <c r="J92" s="6" t="s">
        <v>341</v>
      </c>
      <c r="K92" s="6" t="s">
        <v>347</v>
      </c>
    </row>
    <row r="93" spans="1:11" x14ac:dyDescent="0.35">
      <c r="A93" s="8">
        <v>1</v>
      </c>
      <c r="B93" s="1" t="s">
        <v>94</v>
      </c>
      <c r="C93" s="1" t="s">
        <v>15</v>
      </c>
      <c r="D93" s="17">
        <v>89</v>
      </c>
      <c r="E93" s="39">
        <v>25</v>
      </c>
      <c r="F93" s="17">
        <v>20</v>
      </c>
      <c r="G93" s="40">
        <v>-5</v>
      </c>
      <c r="H93" s="39">
        <v>1</v>
      </c>
      <c r="I93" s="39">
        <v>12</v>
      </c>
      <c r="J93" s="19">
        <v>7</v>
      </c>
      <c r="K93" s="40">
        <v>-5</v>
      </c>
    </row>
    <row r="94" spans="1:11" x14ac:dyDescent="0.35">
      <c r="A94" s="8">
        <v>2</v>
      </c>
      <c r="B94" s="1" t="s">
        <v>186</v>
      </c>
      <c r="C94" s="1" t="s">
        <v>15</v>
      </c>
      <c r="D94" s="17">
        <v>92</v>
      </c>
      <c r="E94" s="17">
        <v>12</v>
      </c>
      <c r="F94" s="39">
        <v>8</v>
      </c>
      <c r="G94" s="40">
        <v>-4</v>
      </c>
      <c r="H94" s="39">
        <v>1</v>
      </c>
      <c r="I94" s="19">
        <v>6</v>
      </c>
      <c r="J94" s="39">
        <v>2</v>
      </c>
      <c r="K94" s="40">
        <v>-4</v>
      </c>
    </row>
    <row r="95" spans="1:11" x14ac:dyDescent="0.35">
      <c r="A95" s="8">
        <v>3</v>
      </c>
      <c r="B95" s="1" t="s">
        <v>220</v>
      </c>
      <c r="C95" s="1" t="s">
        <v>61</v>
      </c>
      <c r="D95" s="41">
        <v>677</v>
      </c>
      <c r="E95" s="41">
        <v>142</v>
      </c>
      <c r="F95" s="41">
        <v>130</v>
      </c>
      <c r="G95" s="42">
        <v>-12</v>
      </c>
      <c r="H95" s="41">
        <v>9</v>
      </c>
      <c r="I95" s="41">
        <v>45</v>
      </c>
      <c r="J95" s="41">
        <v>22</v>
      </c>
      <c r="K95" s="42">
        <v>-23</v>
      </c>
    </row>
    <row r="96" spans="1:11" x14ac:dyDescent="0.35">
      <c r="A96" s="8">
        <v>4</v>
      </c>
      <c r="B96" s="1" t="s">
        <v>281</v>
      </c>
      <c r="C96" s="1" t="s">
        <v>15</v>
      </c>
      <c r="D96" s="17">
        <v>126</v>
      </c>
      <c r="E96" s="39">
        <v>26</v>
      </c>
      <c r="F96" s="17">
        <v>54</v>
      </c>
      <c r="G96" s="18">
        <v>28</v>
      </c>
      <c r="H96" s="39">
        <v>1</v>
      </c>
      <c r="I96" s="19">
        <v>4</v>
      </c>
      <c r="J96" s="19">
        <v>5</v>
      </c>
      <c r="K96" s="20">
        <v>1</v>
      </c>
    </row>
    <row r="97" spans="1:11" x14ac:dyDescent="0.35">
      <c r="D97" s="43">
        <f>D94+D93+D96</f>
        <v>307</v>
      </c>
      <c r="E97" s="43">
        <f t="shared" ref="E97:K97" si="6">E94+E93+E96</f>
        <v>63</v>
      </c>
      <c r="F97" s="43">
        <f t="shared" si="6"/>
        <v>82</v>
      </c>
      <c r="G97" s="43">
        <f t="shared" si="6"/>
        <v>19</v>
      </c>
      <c r="H97" s="43">
        <f t="shared" si="6"/>
        <v>3</v>
      </c>
      <c r="I97" s="43">
        <f t="shared" si="6"/>
        <v>22</v>
      </c>
      <c r="J97" s="43">
        <f t="shared" si="6"/>
        <v>14</v>
      </c>
      <c r="K97" s="40">
        <f t="shared" si="6"/>
        <v>-8</v>
      </c>
    </row>
    <row r="99" spans="1:11" ht="18.5" x14ac:dyDescent="0.45">
      <c r="B99" s="37" t="s">
        <v>357</v>
      </c>
    </row>
    <row r="100" spans="1:11" x14ac:dyDescent="0.35">
      <c r="A100" s="1"/>
      <c r="B100" s="1"/>
      <c r="C100" s="1"/>
      <c r="D100" s="31" t="s">
        <v>343</v>
      </c>
      <c r="E100" s="32"/>
      <c r="F100" s="32"/>
      <c r="G100" s="32"/>
      <c r="H100" s="32"/>
      <c r="I100" s="32"/>
      <c r="J100" s="32"/>
      <c r="K100" s="32"/>
    </row>
    <row r="101" spans="1:11" x14ac:dyDescent="0.35">
      <c r="A101" s="1"/>
      <c r="B101" s="1"/>
      <c r="C101" s="1"/>
      <c r="D101" s="23" t="s">
        <v>10</v>
      </c>
      <c r="E101" s="23"/>
      <c r="F101" s="23"/>
      <c r="G101" s="23"/>
      <c r="H101" s="24" t="s">
        <v>11</v>
      </c>
      <c r="I101" s="24"/>
      <c r="J101" s="24"/>
      <c r="K101" s="24"/>
    </row>
    <row r="102" spans="1:11" x14ac:dyDescent="0.35">
      <c r="A102" s="2" t="s">
        <v>5</v>
      </c>
      <c r="B102" s="3" t="s">
        <v>6</v>
      </c>
      <c r="C102" s="3" t="s">
        <v>8</v>
      </c>
      <c r="D102" s="5" t="s">
        <v>346</v>
      </c>
      <c r="E102" s="5" t="s">
        <v>2</v>
      </c>
      <c r="F102" s="5" t="s">
        <v>341</v>
      </c>
      <c r="G102" s="5" t="s">
        <v>347</v>
      </c>
      <c r="H102" s="6" t="s">
        <v>346</v>
      </c>
      <c r="I102" s="6" t="s">
        <v>2</v>
      </c>
      <c r="J102" s="6" t="s">
        <v>341</v>
      </c>
      <c r="K102" s="6" t="s">
        <v>347</v>
      </c>
    </row>
    <row r="103" spans="1:11" x14ac:dyDescent="0.35">
      <c r="A103" s="8">
        <v>1</v>
      </c>
      <c r="B103" s="1" t="s">
        <v>27</v>
      </c>
      <c r="C103" s="1" t="s">
        <v>15</v>
      </c>
      <c r="D103" s="17">
        <v>102</v>
      </c>
      <c r="E103" s="17">
        <v>17</v>
      </c>
      <c r="F103" s="17">
        <v>29</v>
      </c>
      <c r="G103" s="18">
        <v>12</v>
      </c>
      <c r="H103" s="19">
        <v>7</v>
      </c>
      <c r="I103" s="19">
        <v>3</v>
      </c>
      <c r="J103" s="19">
        <v>9</v>
      </c>
      <c r="K103" s="20">
        <v>6</v>
      </c>
    </row>
    <row r="104" spans="1:11" x14ac:dyDescent="0.35">
      <c r="A104" s="8">
        <v>2</v>
      </c>
      <c r="B104" s="1" t="s">
        <v>44</v>
      </c>
      <c r="C104" s="1" t="s">
        <v>15</v>
      </c>
      <c r="D104" s="17">
        <v>87</v>
      </c>
      <c r="E104" s="39">
        <v>70</v>
      </c>
      <c r="F104" s="39">
        <v>12</v>
      </c>
      <c r="G104" s="40">
        <v>-58</v>
      </c>
      <c r="H104" s="39">
        <v>3</v>
      </c>
      <c r="I104" s="19">
        <v>7</v>
      </c>
      <c r="J104" s="19">
        <v>3</v>
      </c>
      <c r="K104" s="40">
        <v>-4</v>
      </c>
    </row>
    <row r="105" spans="1:11" x14ac:dyDescent="0.35">
      <c r="A105" s="8">
        <v>3</v>
      </c>
      <c r="B105" s="1" t="s">
        <v>112</v>
      </c>
      <c r="C105" s="1" t="s">
        <v>61</v>
      </c>
      <c r="D105" s="41">
        <v>628</v>
      </c>
      <c r="E105" s="41">
        <v>154</v>
      </c>
      <c r="F105" s="41">
        <v>150</v>
      </c>
      <c r="G105" s="42">
        <v>-4</v>
      </c>
      <c r="H105" s="41">
        <v>29</v>
      </c>
      <c r="I105" s="41">
        <v>28</v>
      </c>
      <c r="J105" s="41">
        <v>60</v>
      </c>
      <c r="K105" s="42">
        <v>32</v>
      </c>
    </row>
    <row r="106" spans="1:11" x14ac:dyDescent="0.35">
      <c r="A106" s="8">
        <v>4</v>
      </c>
      <c r="B106" s="1" t="s">
        <v>136</v>
      </c>
      <c r="C106" s="1" t="s">
        <v>15</v>
      </c>
      <c r="D106" s="17">
        <v>120</v>
      </c>
      <c r="E106" s="17">
        <v>19</v>
      </c>
      <c r="F106" s="17">
        <v>26</v>
      </c>
      <c r="G106" s="18">
        <v>7</v>
      </c>
      <c r="H106" s="19">
        <v>6</v>
      </c>
      <c r="I106" s="19">
        <v>4</v>
      </c>
      <c r="J106" s="19">
        <v>14</v>
      </c>
      <c r="K106" s="20">
        <v>10</v>
      </c>
    </row>
    <row r="107" spans="1:11" x14ac:dyDescent="0.35">
      <c r="A107" s="8">
        <v>5</v>
      </c>
      <c r="B107" s="1" t="s">
        <v>153</v>
      </c>
      <c r="C107" s="1" t="s">
        <v>15</v>
      </c>
      <c r="D107" s="17">
        <v>109</v>
      </c>
      <c r="E107" s="39">
        <v>30</v>
      </c>
      <c r="F107" s="17">
        <v>21</v>
      </c>
      <c r="G107" s="18">
        <v>-9</v>
      </c>
      <c r="H107" s="19">
        <v>4</v>
      </c>
      <c r="I107" s="19">
        <v>1</v>
      </c>
      <c r="J107" s="19">
        <v>5</v>
      </c>
      <c r="K107" s="20">
        <v>4</v>
      </c>
    </row>
    <row r="108" spans="1:11" x14ac:dyDescent="0.35">
      <c r="A108" s="8">
        <v>6</v>
      </c>
      <c r="B108" s="1" t="s">
        <v>158</v>
      </c>
      <c r="C108" s="1" t="s">
        <v>15</v>
      </c>
      <c r="D108" s="17">
        <v>89</v>
      </c>
      <c r="E108" s="17">
        <v>26</v>
      </c>
      <c r="F108" s="17">
        <v>23</v>
      </c>
      <c r="G108" s="18">
        <v>-3</v>
      </c>
      <c r="H108" s="39">
        <v>3</v>
      </c>
      <c r="I108" s="19">
        <v>6</v>
      </c>
      <c r="J108" s="19">
        <v>11</v>
      </c>
      <c r="K108" s="20">
        <v>5</v>
      </c>
    </row>
    <row r="109" spans="1:11" x14ac:dyDescent="0.35">
      <c r="A109" s="8">
        <v>7</v>
      </c>
      <c r="B109" s="1" t="s">
        <v>184</v>
      </c>
      <c r="C109" s="1" t="s">
        <v>15</v>
      </c>
      <c r="D109" s="17">
        <v>98</v>
      </c>
      <c r="E109" s="39">
        <v>77</v>
      </c>
      <c r="F109" s="17">
        <v>25</v>
      </c>
      <c r="G109" s="40">
        <v>-52</v>
      </c>
      <c r="H109" s="39">
        <v>2</v>
      </c>
      <c r="I109" s="39">
        <v>10</v>
      </c>
      <c r="J109" s="19">
        <v>10</v>
      </c>
      <c r="K109" s="20">
        <v>0</v>
      </c>
    </row>
    <row r="110" spans="1:11" x14ac:dyDescent="0.35">
      <c r="A110" s="8">
        <v>8</v>
      </c>
      <c r="B110" s="1" t="s">
        <v>192</v>
      </c>
      <c r="C110" s="1" t="s">
        <v>15</v>
      </c>
      <c r="D110" s="17">
        <v>104</v>
      </c>
      <c r="E110" s="17">
        <v>8</v>
      </c>
      <c r="F110" s="17">
        <v>23</v>
      </c>
      <c r="G110" s="18">
        <v>15</v>
      </c>
      <c r="H110" s="39">
        <v>1</v>
      </c>
      <c r="I110" s="19">
        <v>0</v>
      </c>
      <c r="J110" s="19">
        <v>1</v>
      </c>
      <c r="K110" s="20">
        <v>1</v>
      </c>
    </row>
    <row r="111" spans="1:11" x14ac:dyDescent="0.35">
      <c r="A111" s="8">
        <v>9</v>
      </c>
      <c r="B111" s="1" t="s">
        <v>196</v>
      </c>
      <c r="C111" s="1" t="s">
        <v>15</v>
      </c>
      <c r="D111" s="17">
        <v>149</v>
      </c>
      <c r="E111" s="17">
        <v>19</v>
      </c>
      <c r="F111" s="17">
        <v>26</v>
      </c>
      <c r="G111" s="18">
        <v>7</v>
      </c>
      <c r="H111" s="19">
        <v>4</v>
      </c>
      <c r="I111" s="39">
        <v>16</v>
      </c>
      <c r="J111" s="19">
        <v>8</v>
      </c>
      <c r="K111" s="40">
        <v>-8</v>
      </c>
    </row>
    <row r="112" spans="1:11" x14ac:dyDescent="0.35">
      <c r="A112" s="8">
        <v>10</v>
      </c>
      <c r="B112" s="1" t="s">
        <v>295</v>
      </c>
      <c r="C112" s="1" t="s">
        <v>15</v>
      </c>
      <c r="D112" s="17">
        <v>108</v>
      </c>
      <c r="E112" s="17">
        <v>17</v>
      </c>
      <c r="F112" s="17">
        <v>52</v>
      </c>
      <c r="G112" s="18">
        <v>35</v>
      </c>
      <c r="H112" s="19">
        <v>4</v>
      </c>
      <c r="I112" s="19">
        <v>9</v>
      </c>
      <c r="J112" s="19">
        <v>9</v>
      </c>
      <c r="K112" s="20">
        <v>0</v>
      </c>
    </row>
    <row r="113" spans="1:11" x14ac:dyDescent="0.35">
      <c r="A113" s="8">
        <v>11</v>
      </c>
      <c r="B113" s="1" t="s">
        <v>300</v>
      </c>
      <c r="C113" s="1" t="s">
        <v>15</v>
      </c>
      <c r="D113" s="17">
        <v>92</v>
      </c>
      <c r="E113" s="17">
        <v>22</v>
      </c>
      <c r="F113" s="17">
        <v>26</v>
      </c>
      <c r="G113" s="18">
        <v>4</v>
      </c>
      <c r="H113" s="19">
        <v>7</v>
      </c>
      <c r="I113" s="19">
        <v>7</v>
      </c>
      <c r="J113" s="19">
        <v>12</v>
      </c>
      <c r="K113" s="20">
        <v>5</v>
      </c>
    </row>
    <row r="114" spans="1:11" x14ac:dyDescent="0.35">
      <c r="A114" s="8">
        <v>12</v>
      </c>
      <c r="B114" s="1" t="s">
        <v>338</v>
      </c>
      <c r="C114" s="1" t="s">
        <v>15</v>
      </c>
      <c r="D114" s="17">
        <v>116</v>
      </c>
      <c r="E114" s="39">
        <v>40</v>
      </c>
      <c r="F114" s="17">
        <v>25</v>
      </c>
      <c r="G114" s="40">
        <v>-15</v>
      </c>
      <c r="H114" s="39">
        <v>2</v>
      </c>
      <c r="I114" s="19">
        <v>7</v>
      </c>
      <c r="J114" s="19">
        <v>9</v>
      </c>
      <c r="K114" s="20">
        <v>2</v>
      </c>
    </row>
    <row r="115" spans="1:11" x14ac:dyDescent="0.35">
      <c r="D115" s="43">
        <f>D103+D104+D106+D107+D108+D109+D110+D111+D112+D113+D114</f>
        <v>1174</v>
      </c>
      <c r="E115" s="43">
        <f t="shared" ref="E115:K115" si="7">E103+E104+E106+E107+E108+E109+E110+E111+E112+E113+E114</f>
        <v>345</v>
      </c>
      <c r="F115" s="43">
        <f t="shared" si="7"/>
        <v>288</v>
      </c>
      <c r="G115" s="40">
        <f>G103+G104+G106+G107+G108+G109+G110+G111+G112+G113+G114</f>
        <v>-57</v>
      </c>
      <c r="H115" s="43">
        <f t="shared" si="7"/>
        <v>43</v>
      </c>
      <c r="I115" s="43">
        <f t="shared" si="7"/>
        <v>70</v>
      </c>
      <c r="J115" s="43">
        <f t="shared" si="7"/>
        <v>91</v>
      </c>
      <c r="K115" s="43">
        <f t="shared" si="7"/>
        <v>21</v>
      </c>
    </row>
    <row r="117" spans="1:11" ht="18.5" x14ac:dyDescent="0.45">
      <c r="B117" s="37" t="s">
        <v>360</v>
      </c>
    </row>
    <row r="118" spans="1:11" x14ac:dyDescent="0.35">
      <c r="A118" s="1"/>
      <c r="B118" s="1"/>
      <c r="C118" s="1"/>
      <c r="D118" s="31" t="s">
        <v>343</v>
      </c>
      <c r="E118" s="32"/>
      <c r="F118" s="32"/>
      <c r="G118" s="32"/>
      <c r="H118" s="32"/>
      <c r="I118" s="32"/>
      <c r="J118" s="32"/>
      <c r="K118" s="32"/>
    </row>
    <row r="119" spans="1:11" x14ac:dyDescent="0.35">
      <c r="A119" s="1"/>
      <c r="B119" s="1"/>
      <c r="C119" s="1"/>
      <c r="D119" s="23" t="s">
        <v>10</v>
      </c>
      <c r="E119" s="23"/>
      <c r="F119" s="23"/>
      <c r="G119" s="23"/>
      <c r="H119" s="24" t="s">
        <v>11</v>
      </c>
      <c r="I119" s="24"/>
      <c r="J119" s="24"/>
      <c r="K119" s="24"/>
    </row>
    <row r="120" spans="1:11" x14ac:dyDescent="0.35">
      <c r="A120" s="2" t="s">
        <v>5</v>
      </c>
      <c r="B120" s="3" t="s">
        <v>6</v>
      </c>
      <c r="C120" s="3" t="s">
        <v>8</v>
      </c>
      <c r="D120" s="5" t="s">
        <v>346</v>
      </c>
      <c r="E120" s="5" t="s">
        <v>2</v>
      </c>
      <c r="F120" s="5" t="s">
        <v>341</v>
      </c>
      <c r="G120" s="5" t="s">
        <v>347</v>
      </c>
      <c r="H120" s="6" t="s">
        <v>346</v>
      </c>
      <c r="I120" s="6" t="s">
        <v>2</v>
      </c>
      <c r="J120" s="6" t="s">
        <v>341</v>
      </c>
      <c r="K120" s="6" t="s">
        <v>347</v>
      </c>
    </row>
    <row r="121" spans="1:11" x14ac:dyDescent="0.35">
      <c r="A121" s="8">
        <v>1</v>
      </c>
      <c r="B121" s="1" t="s">
        <v>32</v>
      </c>
      <c r="C121" s="1" t="s">
        <v>15</v>
      </c>
      <c r="D121" s="17">
        <v>125</v>
      </c>
      <c r="E121" s="17">
        <v>11</v>
      </c>
      <c r="F121" s="17">
        <v>13</v>
      </c>
      <c r="G121" s="18">
        <v>2</v>
      </c>
      <c r="H121" s="39">
        <v>2</v>
      </c>
      <c r="I121" s="19">
        <v>2</v>
      </c>
      <c r="J121" s="19">
        <v>3</v>
      </c>
      <c r="K121" s="20">
        <v>1</v>
      </c>
    </row>
    <row r="122" spans="1:11" x14ac:dyDescent="0.35">
      <c r="A122" s="8">
        <v>2</v>
      </c>
      <c r="B122" s="1" t="s">
        <v>38</v>
      </c>
      <c r="C122" s="1" t="s">
        <v>15</v>
      </c>
      <c r="D122" s="17">
        <v>159</v>
      </c>
      <c r="E122" s="48">
        <v>36</v>
      </c>
      <c r="F122" s="17">
        <v>64</v>
      </c>
      <c r="G122" s="18">
        <v>28</v>
      </c>
      <c r="H122" s="39">
        <v>0</v>
      </c>
      <c r="I122" s="19">
        <v>1</v>
      </c>
      <c r="J122" s="19">
        <v>10</v>
      </c>
      <c r="K122" s="20">
        <v>9</v>
      </c>
    </row>
    <row r="123" spans="1:11" x14ac:dyDescent="0.35">
      <c r="A123" s="8">
        <v>3</v>
      </c>
      <c r="B123" s="1" t="s">
        <v>42</v>
      </c>
      <c r="C123" s="1" t="s">
        <v>15</v>
      </c>
      <c r="D123" s="17">
        <v>126</v>
      </c>
      <c r="E123" s="17">
        <v>13</v>
      </c>
      <c r="F123" s="17">
        <v>18</v>
      </c>
      <c r="G123" s="18">
        <v>5</v>
      </c>
      <c r="H123" s="19">
        <v>4</v>
      </c>
      <c r="I123" s="19">
        <v>5</v>
      </c>
      <c r="J123" s="19">
        <v>4</v>
      </c>
      <c r="K123" s="20">
        <v>-1</v>
      </c>
    </row>
    <row r="124" spans="1:11" x14ac:dyDescent="0.35">
      <c r="A124" s="8">
        <v>4</v>
      </c>
      <c r="B124" s="1" t="s">
        <v>59</v>
      </c>
      <c r="C124" s="1" t="s">
        <v>61</v>
      </c>
      <c r="D124" s="41">
        <v>612</v>
      </c>
      <c r="E124" s="41">
        <v>68</v>
      </c>
      <c r="F124" s="41">
        <v>101</v>
      </c>
      <c r="G124" s="42">
        <v>33</v>
      </c>
      <c r="H124" s="41">
        <v>17</v>
      </c>
      <c r="I124" s="41">
        <v>33</v>
      </c>
      <c r="J124" s="41">
        <v>24</v>
      </c>
      <c r="K124" s="42">
        <v>-9</v>
      </c>
    </row>
    <row r="125" spans="1:11" x14ac:dyDescent="0.35">
      <c r="A125" s="8">
        <v>5</v>
      </c>
      <c r="B125" s="1" t="s">
        <v>81</v>
      </c>
      <c r="C125" s="1" t="s">
        <v>15</v>
      </c>
      <c r="D125" s="17">
        <v>112</v>
      </c>
      <c r="E125" s="48">
        <v>30</v>
      </c>
      <c r="F125" s="17">
        <v>29</v>
      </c>
      <c r="G125" s="18">
        <v>-1</v>
      </c>
      <c r="H125" s="39">
        <v>1</v>
      </c>
      <c r="I125" s="39">
        <v>10</v>
      </c>
      <c r="J125" s="19">
        <v>6</v>
      </c>
      <c r="K125" s="20">
        <v>-4</v>
      </c>
    </row>
    <row r="126" spans="1:11" x14ac:dyDescent="0.35">
      <c r="A126" s="8">
        <v>6</v>
      </c>
      <c r="B126" s="1" t="s">
        <v>132</v>
      </c>
      <c r="C126" s="1" t="s">
        <v>15</v>
      </c>
      <c r="D126" s="17">
        <v>107</v>
      </c>
      <c r="E126" s="17">
        <v>18</v>
      </c>
      <c r="F126" s="17">
        <v>16</v>
      </c>
      <c r="G126" s="18">
        <v>-2</v>
      </c>
      <c r="H126" s="19">
        <v>4</v>
      </c>
      <c r="I126" s="19">
        <v>4</v>
      </c>
      <c r="J126" s="19">
        <v>4</v>
      </c>
      <c r="K126" s="20">
        <v>0</v>
      </c>
    </row>
    <row r="127" spans="1:11" x14ac:dyDescent="0.35">
      <c r="A127" s="8">
        <v>7</v>
      </c>
      <c r="B127" s="1" t="s">
        <v>172</v>
      </c>
      <c r="C127" s="1" t="s">
        <v>15</v>
      </c>
      <c r="D127" s="17">
        <v>94</v>
      </c>
      <c r="E127" s="17">
        <v>13</v>
      </c>
      <c r="F127" s="17">
        <v>34</v>
      </c>
      <c r="G127" s="18">
        <v>21</v>
      </c>
      <c r="H127" s="19">
        <v>5</v>
      </c>
      <c r="I127" s="39">
        <v>18</v>
      </c>
      <c r="J127" s="19">
        <v>8</v>
      </c>
      <c r="K127" s="40">
        <v>-10</v>
      </c>
    </row>
    <row r="128" spans="1:11" x14ac:dyDescent="0.35">
      <c r="A128" s="8">
        <v>8</v>
      </c>
      <c r="B128" s="1" t="s">
        <v>190</v>
      </c>
      <c r="C128" s="1" t="s">
        <v>15</v>
      </c>
      <c r="D128" s="17">
        <v>85</v>
      </c>
      <c r="E128" s="39">
        <v>104</v>
      </c>
      <c r="F128" s="39">
        <v>13</v>
      </c>
      <c r="G128" s="40">
        <v>-91</v>
      </c>
      <c r="H128" s="39">
        <v>2</v>
      </c>
      <c r="I128" s="19">
        <v>3</v>
      </c>
      <c r="J128" s="19">
        <v>5</v>
      </c>
      <c r="K128" s="20">
        <v>2</v>
      </c>
    </row>
    <row r="129" spans="1:11" x14ac:dyDescent="0.35">
      <c r="A129" s="8">
        <v>9</v>
      </c>
      <c r="B129" s="1" t="s">
        <v>214</v>
      </c>
      <c r="C129" s="1" t="s">
        <v>15</v>
      </c>
      <c r="D129" s="17">
        <v>160</v>
      </c>
      <c r="E129" s="17">
        <v>13</v>
      </c>
      <c r="F129" s="17">
        <v>20</v>
      </c>
      <c r="G129" s="18">
        <v>7</v>
      </c>
      <c r="H129" s="39">
        <v>2</v>
      </c>
      <c r="I129" s="19">
        <v>4</v>
      </c>
      <c r="J129" s="19">
        <v>5</v>
      </c>
      <c r="K129" s="20">
        <v>1</v>
      </c>
    </row>
    <row r="130" spans="1:11" x14ac:dyDescent="0.35">
      <c r="A130" s="8">
        <v>10</v>
      </c>
      <c r="B130" s="1" t="s">
        <v>216</v>
      </c>
      <c r="C130" s="1" t="s">
        <v>15</v>
      </c>
      <c r="D130" s="17">
        <v>99</v>
      </c>
      <c r="E130" s="17">
        <v>15</v>
      </c>
      <c r="F130" s="17">
        <v>25</v>
      </c>
      <c r="G130" s="18">
        <v>10</v>
      </c>
      <c r="H130" s="19">
        <v>6</v>
      </c>
      <c r="I130" s="19">
        <v>2</v>
      </c>
      <c r="J130" s="19">
        <v>8</v>
      </c>
      <c r="K130" s="20">
        <v>6</v>
      </c>
    </row>
    <row r="131" spans="1:11" x14ac:dyDescent="0.35">
      <c r="A131" s="8">
        <v>11</v>
      </c>
      <c r="B131" s="1" t="s">
        <v>241</v>
      </c>
      <c r="C131" s="1" t="s">
        <v>61</v>
      </c>
      <c r="D131" s="41">
        <v>509</v>
      </c>
      <c r="E131" s="41">
        <v>158</v>
      </c>
      <c r="F131" s="41">
        <v>105</v>
      </c>
      <c r="G131" s="42">
        <v>-53</v>
      </c>
      <c r="H131" s="41">
        <v>24</v>
      </c>
      <c r="I131" s="41">
        <v>27</v>
      </c>
      <c r="J131" s="41">
        <v>34</v>
      </c>
      <c r="K131" s="42">
        <v>7</v>
      </c>
    </row>
    <row r="132" spans="1:11" x14ac:dyDescent="0.35">
      <c r="A132" s="8">
        <v>12</v>
      </c>
      <c r="B132" s="1" t="s">
        <v>243</v>
      </c>
      <c r="C132" s="1" t="s">
        <v>15</v>
      </c>
      <c r="D132" s="17">
        <v>114</v>
      </c>
      <c r="E132" s="17">
        <v>7</v>
      </c>
      <c r="F132" s="17">
        <v>25</v>
      </c>
      <c r="G132" s="18">
        <v>18</v>
      </c>
      <c r="H132" s="19">
        <v>6</v>
      </c>
      <c r="I132" s="39">
        <v>10</v>
      </c>
      <c r="J132" s="19">
        <v>8</v>
      </c>
      <c r="K132" s="20">
        <v>-2</v>
      </c>
    </row>
    <row r="133" spans="1:11" x14ac:dyDescent="0.35">
      <c r="A133" s="8">
        <v>13</v>
      </c>
      <c r="B133" s="1" t="s">
        <v>251</v>
      </c>
      <c r="C133" s="1" t="s">
        <v>15</v>
      </c>
      <c r="D133" s="17">
        <v>107</v>
      </c>
      <c r="E133" s="17">
        <v>12</v>
      </c>
      <c r="F133" s="17">
        <v>21</v>
      </c>
      <c r="G133" s="18">
        <v>9</v>
      </c>
      <c r="H133" s="19">
        <v>8</v>
      </c>
      <c r="I133" s="19">
        <v>8</v>
      </c>
      <c r="J133" s="19">
        <v>11</v>
      </c>
      <c r="K133" s="20">
        <v>3</v>
      </c>
    </row>
    <row r="134" spans="1:11" x14ac:dyDescent="0.35">
      <c r="A134" s="8">
        <v>14</v>
      </c>
      <c r="B134" s="1" t="s">
        <v>308</v>
      </c>
      <c r="C134" s="1" t="s">
        <v>15</v>
      </c>
      <c r="D134" s="17">
        <v>111</v>
      </c>
      <c r="E134" s="17">
        <v>9</v>
      </c>
      <c r="F134" s="17">
        <v>31</v>
      </c>
      <c r="G134" s="18">
        <v>22</v>
      </c>
      <c r="H134" s="39">
        <v>2</v>
      </c>
      <c r="I134" s="19">
        <v>9</v>
      </c>
      <c r="J134" s="19">
        <v>4</v>
      </c>
      <c r="K134" s="20">
        <v>-5</v>
      </c>
    </row>
    <row r="135" spans="1:11" x14ac:dyDescent="0.35">
      <c r="A135" s="8">
        <v>15</v>
      </c>
      <c r="B135" s="1" t="s">
        <v>326</v>
      </c>
      <c r="C135" s="1" t="s">
        <v>15</v>
      </c>
      <c r="D135" s="17">
        <v>90</v>
      </c>
      <c r="E135" s="17">
        <v>23</v>
      </c>
      <c r="F135" s="17">
        <v>39</v>
      </c>
      <c r="G135" s="18">
        <v>16</v>
      </c>
      <c r="H135" s="19">
        <v>3</v>
      </c>
      <c r="I135" s="19">
        <v>3</v>
      </c>
      <c r="J135" s="19">
        <v>5</v>
      </c>
      <c r="K135" s="20">
        <v>2</v>
      </c>
    </row>
    <row r="136" spans="1:11" x14ac:dyDescent="0.35">
      <c r="A136" s="8">
        <v>16</v>
      </c>
      <c r="B136" s="1" t="s">
        <v>330</v>
      </c>
      <c r="C136" s="1" t="s">
        <v>15</v>
      </c>
      <c r="D136" s="17">
        <v>104</v>
      </c>
      <c r="E136" s="17">
        <v>20</v>
      </c>
      <c r="F136" s="17">
        <v>21</v>
      </c>
      <c r="G136" s="18">
        <v>1</v>
      </c>
      <c r="H136" s="39">
        <v>2</v>
      </c>
      <c r="I136" s="19">
        <v>4</v>
      </c>
      <c r="J136" s="39">
        <v>2</v>
      </c>
      <c r="K136" s="20">
        <v>-2</v>
      </c>
    </row>
    <row r="137" spans="1:11" x14ac:dyDescent="0.35">
      <c r="D137" s="43">
        <f>SUM(D121:D136)-D124-D131</f>
        <v>1593</v>
      </c>
      <c r="E137" s="43">
        <f t="shared" ref="E137:J137" si="8">SUM(E121:E136)-E124-E131</f>
        <v>324</v>
      </c>
      <c r="F137" s="43">
        <f t="shared" si="8"/>
        <v>369</v>
      </c>
      <c r="G137" s="43">
        <f t="shared" si="8"/>
        <v>45</v>
      </c>
      <c r="H137" s="43">
        <f t="shared" si="8"/>
        <v>47</v>
      </c>
      <c r="I137" s="43">
        <f t="shared" si="8"/>
        <v>83</v>
      </c>
      <c r="J137" s="43">
        <f t="shared" si="8"/>
        <v>83</v>
      </c>
      <c r="K137" s="43">
        <f>SUM(K121:K136)-K124-K131</f>
        <v>0</v>
      </c>
    </row>
    <row r="139" spans="1:11" ht="18.5" x14ac:dyDescent="0.45">
      <c r="B139" s="37" t="s">
        <v>361</v>
      </c>
    </row>
    <row r="140" spans="1:11" x14ac:dyDescent="0.35">
      <c r="A140" s="1"/>
      <c r="B140" s="1"/>
      <c r="C140" s="1"/>
      <c r="D140" s="31" t="s">
        <v>343</v>
      </c>
      <c r="E140" s="32"/>
      <c r="F140" s="32"/>
      <c r="G140" s="32"/>
      <c r="H140" s="32"/>
      <c r="I140" s="32"/>
      <c r="J140" s="32"/>
      <c r="K140" s="32"/>
    </row>
    <row r="141" spans="1:11" x14ac:dyDescent="0.35">
      <c r="A141" s="1"/>
      <c r="B141" s="1"/>
      <c r="C141" s="1"/>
      <c r="D141" s="23" t="s">
        <v>10</v>
      </c>
      <c r="E141" s="23"/>
      <c r="F141" s="23"/>
      <c r="G141" s="23"/>
      <c r="H141" s="24" t="s">
        <v>11</v>
      </c>
      <c r="I141" s="24"/>
      <c r="J141" s="24"/>
      <c r="K141" s="24"/>
    </row>
    <row r="142" spans="1:11" x14ac:dyDescent="0.35">
      <c r="A142" s="2" t="s">
        <v>5</v>
      </c>
      <c r="B142" s="3" t="s">
        <v>6</v>
      </c>
      <c r="C142" s="3" t="s">
        <v>8</v>
      </c>
      <c r="D142" s="5" t="s">
        <v>346</v>
      </c>
      <c r="E142" s="5" t="s">
        <v>2</v>
      </c>
      <c r="F142" s="5" t="s">
        <v>341</v>
      </c>
      <c r="G142" s="5" t="s">
        <v>347</v>
      </c>
      <c r="H142" s="6" t="s">
        <v>346</v>
      </c>
      <c r="I142" s="6" t="s">
        <v>2</v>
      </c>
      <c r="J142" s="6" t="s">
        <v>341</v>
      </c>
      <c r="K142" s="6" t="s">
        <v>347</v>
      </c>
    </row>
    <row r="143" spans="1:11" x14ac:dyDescent="0.35">
      <c r="A143" s="8">
        <v>1</v>
      </c>
      <c r="B143" s="1" t="s">
        <v>13</v>
      </c>
      <c r="C143" s="1" t="s">
        <v>15</v>
      </c>
      <c r="D143" s="17">
        <v>74</v>
      </c>
      <c r="E143" s="39">
        <v>78</v>
      </c>
      <c r="F143" s="17">
        <v>14</v>
      </c>
      <c r="G143" s="40">
        <v>-64</v>
      </c>
      <c r="H143" s="39">
        <v>1</v>
      </c>
      <c r="I143" s="39">
        <v>17</v>
      </c>
      <c r="J143" s="39">
        <v>7</v>
      </c>
      <c r="K143" s="40">
        <v>-10</v>
      </c>
    </row>
    <row r="144" spans="1:11" x14ac:dyDescent="0.35">
      <c r="A144" s="8">
        <v>2</v>
      </c>
      <c r="B144" s="1" t="s">
        <v>17</v>
      </c>
      <c r="C144" s="1" t="s">
        <v>15</v>
      </c>
      <c r="D144" s="17">
        <v>72</v>
      </c>
      <c r="E144" s="39">
        <v>61</v>
      </c>
      <c r="F144" s="17">
        <v>20</v>
      </c>
      <c r="G144" s="40">
        <v>-41</v>
      </c>
      <c r="H144" s="39">
        <v>0</v>
      </c>
      <c r="I144" s="19">
        <v>6</v>
      </c>
      <c r="J144" s="39">
        <v>0</v>
      </c>
      <c r="K144" s="20">
        <v>-6</v>
      </c>
    </row>
    <row r="145" spans="1:11" x14ac:dyDescent="0.35">
      <c r="A145" s="8">
        <v>3</v>
      </c>
      <c r="B145" s="1" t="s">
        <v>30</v>
      </c>
      <c r="C145" s="1" t="s">
        <v>15</v>
      </c>
      <c r="D145" s="17">
        <v>103</v>
      </c>
      <c r="E145" s="17">
        <v>21</v>
      </c>
      <c r="F145" s="17">
        <v>20</v>
      </c>
      <c r="G145" s="18">
        <v>-1</v>
      </c>
      <c r="H145" s="19">
        <v>17</v>
      </c>
      <c r="I145" s="19">
        <v>4</v>
      </c>
      <c r="J145" s="19">
        <v>36</v>
      </c>
      <c r="K145" s="20">
        <v>32</v>
      </c>
    </row>
    <row r="146" spans="1:11" x14ac:dyDescent="0.35">
      <c r="A146" s="8">
        <v>4</v>
      </c>
      <c r="B146" s="1" t="s">
        <v>62</v>
      </c>
      <c r="C146" s="1" t="s">
        <v>15</v>
      </c>
      <c r="D146" s="17">
        <v>97</v>
      </c>
      <c r="E146" s="17">
        <v>55</v>
      </c>
      <c r="F146" s="39">
        <v>5</v>
      </c>
      <c r="G146" s="40">
        <v>-50</v>
      </c>
      <c r="H146" s="19">
        <v>4</v>
      </c>
      <c r="I146" s="39">
        <v>20</v>
      </c>
      <c r="J146" s="19">
        <v>6</v>
      </c>
      <c r="K146" s="40">
        <v>-14</v>
      </c>
    </row>
    <row r="147" spans="1:11" x14ac:dyDescent="0.35">
      <c r="A147" s="8">
        <v>5</v>
      </c>
      <c r="B147" s="1" t="s">
        <v>77</v>
      </c>
      <c r="C147" s="1" t="s">
        <v>15</v>
      </c>
      <c r="D147" s="17">
        <v>93</v>
      </c>
      <c r="E147" s="39">
        <v>75</v>
      </c>
      <c r="F147" s="17">
        <v>37</v>
      </c>
      <c r="G147" s="40">
        <v>-38</v>
      </c>
      <c r="H147" s="19">
        <v>3</v>
      </c>
      <c r="I147" s="19">
        <v>8</v>
      </c>
      <c r="J147" s="39">
        <v>3</v>
      </c>
      <c r="K147" s="20">
        <v>-5</v>
      </c>
    </row>
    <row r="148" spans="1:11" x14ac:dyDescent="0.35">
      <c r="A148" s="8">
        <v>6</v>
      </c>
      <c r="B148" s="1" t="s">
        <v>89</v>
      </c>
      <c r="C148" s="1" t="s">
        <v>15</v>
      </c>
      <c r="D148" s="17">
        <v>136</v>
      </c>
      <c r="E148" s="17">
        <v>42</v>
      </c>
      <c r="F148" s="17">
        <v>36</v>
      </c>
      <c r="G148" s="18">
        <v>-6</v>
      </c>
      <c r="H148" s="39">
        <v>1</v>
      </c>
      <c r="I148" s="19">
        <v>1</v>
      </c>
      <c r="J148" s="39">
        <v>7</v>
      </c>
      <c r="K148" s="20">
        <v>6</v>
      </c>
    </row>
    <row r="149" spans="1:11" x14ac:dyDescent="0.35">
      <c r="A149" s="8">
        <v>7</v>
      </c>
      <c r="B149" s="1" t="s">
        <v>97</v>
      </c>
      <c r="C149" s="1" t="s">
        <v>15</v>
      </c>
      <c r="D149" s="17">
        <v>94</v>
      </c>
      <c r="E149" s="17">
        <v>49</v>
      </c>
      <c r="F149" s="17">
        <v>37</v>
      </c>
      <c r="G149" s="18">
        <v>-12</v>
      </c>
      <c r="H149" s="19">
        <v>7</v>
      </c>
      <c r="I149" s="39">
        <v>18</v>
      </c>
      <c r="J149" s="19">
        <v>24</v>
      </c>
      <c r="K149" s="20">
        <v>6</v>
      </c>
    </row>
    <row r="150" spans="1:11" x14ac:dyDescent="0.35">
      <c r="A150" s="8">
        <v>8</v>
      </c>
      <c r="B150" s="1" t="s">
        <v>106</v>
      </c>
      <c r="C150" s="1" t="s">
        <v>61</v>
      </c>
      <c r="D150" s="41">
        <v>716</v>
      </c>
      <c r="E150" s="41">
        <v>241</v>
      </c>
      <c r="F150" s="41">
        <v>166</v>
      </c>
      <c r="G150" s="42">
        <v>-75</v>
      </c>
      <c r="H150" s="41">
        <v>32</v>
      </c>
      <c r="I150" s="41">
        <v>52</v>
      </c>
      <c r="J150" s="41">
        <v>60</v>
      </c>
      <c r="K150" s="42">
        <v>8</v>
      </c>
    </row>
    <row r="151" spans="1:11" x14ac:dyDescent="0.35">
      <c r="A151" s="8">
        <v>9</v>
      </c>
      <c r="B151" s="1" t="s">
        <v>126</v>
      </c>
      <c r="C151" s="1" t="s">
        <v>15</v>
      </c>
      <c r="D151" s="17">
        <v>115</v>
      </c>
      <c r="E151" s="17">
        <v>42</v>
      </c>
      <c r="F151" s="39">
        <v>9</v>
      </c>
      <c r="G151" s="40">
        <v>-33</v>
      </c>
      <c r="H151" s="19">
        <v>13</v>
      </c>
      <c r="I151" s="39">
        <v>21</v>
      </c>
      <c r="J151" s="19">
        <v>15</v>
      </c>
      <c r="K151" s="20">
        <v>-6</v>
      </c>
    </row>
    <row r="152" spans="1:11" x14ac:dyDescent="0.35">
      <c r="A152" s="8">
        <v>10</v>
      </c>
      <c r="B152" s="1" t="s">
        <v>128</v>
      </c>
      <c r="C152" s="1" t="s">
        <v>15</v>
      </c>
      <c r="D152" s="17">
        <v>108</v>
      </c>
      <c r="E152" s="17">
        <v>50</v>
      </c>
      <c r="F152" s="17">
        <v>20</v>
      </c>
      <c r="G152" s="40">
        <v>-30</v>
      </c>
      <c r="H152" s="19">
        <v>11</v>
      </c>
      <c r="I152" s="39">
        <v>23</v>
      </c>
      <c r="J152" s="19">
        <v>20</v>
      </c>
      <c r="K152" s="20">
        <v>-3</v>
      </c>
    </row>
    <row r="153" spans="1:11" x14ac:dyDescent="0.35">
      <c r="A153" s="8">
        <v>11</v>
      </c>
      <c r="B153" s="1" t="s">
        <v>130</v>
      </c>
      <c r="C153" s="1" t="s">
        <v>61</v>
      </c>
      <c r="D153" s="41">
        <v>649</v>
      </c>
      <c r="E153" s="41">
        <v>229</v>
      </c>
      <c r="F153" s="41">
        <v>162</v>
      </c>
      <c r="G153" s="42">
        <v>-67</v>
      </c>
      <c r="H153" s="41">
        <v>37</v>
      </c>
      <c r="I153" s="41">
        <v>77</v>
      </c>
      <c r="J153" s="41">
        <v>92</v>
      </c>
      <c r="K153" s="42">
        <v>15</v>
      </c>
    </row>
    <row r="154" spans="1:11" x14ac:dyDescent="0.35">
      <c r="A154" s="8">
        <v>12</v>
      </c>
      <c r="B154" s="1" t="s">
        <v>147</v>
      </c>
      <c r="C154" s="1" t="s">
        <v>15</v>
      </c>
      <c r="D154" s="17">
        <v>98</v>
      </c>
      <c r="E154" s="17">
        <v>38</v>
      </c>
      <c r="F154" s="17">
        <v>43</v>
      </c>
      <c r="G154" s="18">
        <v>5</v>
      </c>
      <c r="H154" s="19">
        <v>4</v>
      </c>
      <c r="I154" s="19">
        <v>7</v>
      </c>
      <c r="J154" s="39">
        <v>6</v>
      </c>
      <c r="K154" s="20">
        <v>-1</v>
      </c>
    </row>
    <row r="155" spans="1:11" x14ac:dyDescent="0.35">
      <c r="A155" s="8">
        <v>13</v>
      </c>
      <c r="B155" s="1" t="s">
        <v>174</v>
      </c>
      <c r="C155" s="1" t="s">
        <v>15</v>
      </c>
      <c r="D155" s="17">
        <v>116</v>
      </c>
      <c r="E155" s="17">
        <v>46</v>
      </c>
      <c r="F155" s="17">
        <v>39</v>
      </c>
      <c r="G155" s="18">
        <v>-7</v>
      </c>
      <c r="H155" s="19">
        <v>4</v>
      </c>
      <c r="I155" s="39">
        <v>19</v>
      </c>
      <c r="J155" s="19">
        <v>17</v>
      </c>
      <c r="K155" s="20">
        <v>-2</v>
      </c>
    </row>
    <row r="156" spans="1:11" x14ac:dyDescent="0.35">
      <c r="A156" s="8">
        <v>14</v>
      </c>
      <c r="B156" s="1" t="s">
        <v>182</v>
      </c>
      <c r="C156" s="1" t="s">
        <v>15</v>
      </c>
      <c r="D156" s="17">
        <v>141</v>
      </c>
      <c r="E156" s="17">
        <v>20</v>
      </c>
      <c r="F156" s="17">
        <v>18</v>
      </c>
      <c r="G156" s="18">
        <v>-2</v>
      </c>
      <c r="H156" s="39">
        <v>1</v>
      </c>
      <c r="I156" s="19">
        <v>9</v>
      </c>
      <c r="J156" s="39">
        <v>3</v>
      </c>
      <c r="K156" s="20">
        <v>-6</v>
      </c>
    </row>
    <row r="157" spans="1:11" x14ac:dyDescent="0.35">
      <c r="A157" s="8">
        <v>15</v>
      </c>
      <c r="B157" s="1" t="s">
        <v>188</v>
      </c>
      <c r="C157" s="1" t="s">
        <v>15</v>
      </c>
      <c r="D157" s="17">
        <v>113</v>
      </c>
      <c r="E157" s="17">
        <v>33</v>
      </c>
      <c r="F157" s="17">
        <v>10</v>
      </c>
      <c r="G157" s="18">
        <v>-23</v>
      </c>
      <c r="H157" s="19">
        <v>15</v>
      </c>
      <c r="I157" s="19">
        <v>12</v>
      </c>
      <c r="J157" s="19">
        <v>22</v>
      </c>
      <c r="K157" s="20">
        <v>10</v>
      </c>
    </row>
    <row r="158" spans="1:11" x14ac:dyDescent="0.35">
      <c r="A158" s="8">
        <v>16</v>
      </c>
      <c r="B158" s="1" t="s">
        <v>212</v>
      </c>
      <c r="C158" s="1" t="s">
        <v>15</v>
      </c>
      <c r="D158" s="17">
        <v>89</v>
      </c>
      <c r="E158" s="39">
        <v>76</v>
      </c>
      <c r="F158" s="17">
        <v>28</v>
      </c>
      <c r="G158" s="40">
        <v>-48</v>
      </c>
      <c r="H158" s="39">
        <v>1</v>
      </c>
      <c r="I158" s="19">
        <v>8</v>
      </c>
      <c r="J158" s="39">
        <v>2</v>
      </c>
      <c r="K158" s="20">
        <v>-6</v>
      </c>
    </row>
    <row r="159" spans="1:11" x14ac:dyDescent="0.35">
      <c r="A159" s="8">
        <v>17</v>
      </c>
      <c r="B159" s="1" t="s">
        <v>271</v>
      </c>
      <c r="C159" s="1" t="s">
        <v>15</v>
      </c>
      <c r="D159" s="17">
        <v>103</v>
      </c>
      <c r="E159" s="39">
        <v>74</v>
      </c>
      <c r="F159" s="17">
        <v>16</v>
      </c>
      <c r="G159" s="40">
        <v>-58</v>
      </c>
      <c r="H159" s="39">
        <v>0</v>
      </c>
      <c r="I159" s="19">
        <v>10</v>
      </c>
      <c r="J159" s="39">
        <v>5</v>
      </c>
      <c r="K159" s="20">
        <v>-5</v>
      </c>
    </row>
    <row r="160" spans="1:11" x14ac:dyDescent="0.35">
      <c r="A160" s="8">
        <v>18</v>
      </c>
      <c r="B160" s="1" t="s">
        <v>285</v>
      </c>
      <c r="C160" s="1" t="s">
        <v>15</v>
      </c>
      <c r="D160" s="17">
        <v>79</v>
      </c>
      <c r="E160" s="39">
        <v>60</v>
      </c>
      <c r="F160" s="17">
        <v>44</v>
      </c>
      <c r="G160" s="18">
        <v>-16</v>
      </c>
      <c r="H160" s="19">
        <v>4</v>
      </c>
      <c r="I160" s="39">
        <v>17</v>
      </c>
      <c r="J160" s="19">
        <v>8</v>
      </c>
      <c r="K160" s="40">
        <v>-9</v>
      </c>
    </row>
    <row r="161" spans="1:11" x14ac:dyDescent="0.35">
      <c r="A161" s="8">
        <v>19</v>
      </c>
      <c r="B161" s="1" t="s">
        <v>310</v>
      </c>
      <c r="C161" s="1" t="s">
        <v>15</v>
      </c>
      <c r="D161" s="17">
        <v>138</v>
      </c>
      <c r="E161" s="17">
        <v>28</v>
      </c>
      <c r="F161" s="17">
        <v>72</v>
      </c>
      <c r="G161" s="18">
        <v>44</v>
      </c>
      <c r="H161" s="39">
        <v>1</v>
      </c>
      <c r="I161" s="19">
        <v>4</v>
      </c>
      <c r="J161" s="39">
        <v>4</v>
      </c>
      <c r="K161" s="20">
        <v>0</v>
      </c>
    </row>
    <row r="162" spans="1:11" x14ac:dyDescent="0.35">
      <c r="A162" s="8">
        <v>20</v>
      </c>
      <c r="B162" s="1" t="s">
        <v>324</v>
      </c>
      <c r="C162" s="1" t="s">
        <v>61</v>
      </c>
      <c r="D162" s="41">
        <v>553</v>
      </c>
      <c r="E162" s="41">
        <v>405</v>
      </c>
      <c r="F162" s="41">
        <v>148</v>
      </c>
      <c r="G162" s="42">
        <v>-257</v>
      </c>
      <c r="H162" s="41">
        <v>22</v>
      </c>
      <c r="I162" s="41">
        <v>81</v>
      </c>
      <c r="J162" s="41">
        <v>40</v>
      </c>
      <c r="K162" s="42">
        <v>-41</v>
      </c>
    </row>
    <row r="163" spans="1:11" x14ac:dyDescent="0.35">
      <c r="A163" s="8">
        <v>21</v>
      </c>
      <c r="B163" s="1" t="s">
        <v>334</v>
      </c>
      <c r="C163" s="1" t="s">
        <v>15</v>
      </c>
      <c r="D163" s="17">
        <v>149</v>
      </c>
      <c r="E163" s="17">
        <v>27</v>
      </c>
      <c r="F163" s="39">
        <v>8</v>
      </c>
      <c r="G163" s="18">
        <v>-19</v>
      </c>
      <c r="H163" s="19">
        <v>4</v>
      </c>
      <c r="I163" s="19">
        <v>6</v>
      </c>
      <c r="J163" s="19">
        <v>7</v>
      </c>
      <c r="K163" s="20">
        <v>1</v>
      </c>
    </row>
    <row r="164" spans="1:11" x14ac:dyDescent="0.35">
      <c r="D164" s="43">
        <f>SUM(D143:D163)-D150-D153-D162</f>
        <v>1918</v>
      </c>
      <c r="E164" s="43">
        <f t="shared" ref="E164:K164" si="9">SUM(E143:E163)-E150-E153-E162</f>
        <v>875</v>
      </c>
      <c r="F164" s="43">
        <f t="shared" si="9"/>
        <v>476</v>
      </c>
      <c r="G164" s="40">
        <f t="shared" si="9"/>
        <v>-399</v>
      </c>
      <c r="H164" s="43">
        <f t="shared" si="9"/>
        <v>91</v>
      </c>
      <c r="I164" s="43">
        <f t="shared" si="9"/>
        <v>210</v>
      </c>
      <c r="J164" s="43">
        <f t="shared" si="9"/>
        <v>192</v>
      </c>
      <c r="K164" s="40">
        <f t="shared" si="9"/>
        <v>-18</v>
      </c>
    </row>
    <row r="166" spans="1:11" ht="18.5" x14ac:dyDescent="0.45">
      <c r="B166" s="37" t="s">
        <v>362</v>
      </c>
    </row>
    <row r="167" spans="1:11" x14ac:dyDescent="0.35">
      <c r="A167" s="1"/>
      <c r="B167" s="1"/>
      <c r="C167" s="1"/>
      <c r="D167" s="31" t="s">
        <v>343</v>
      </c>
      <c r="E167" s="32"/>
      <c r="F167" s="32"/>
      <c r="G167" s="32"/>
      <c r="H167" s="32"/>
      <c r="I167" s="32"/>
      <c r="J167" s="32"/>
      <c r="K167" s="32"/>
    </row>
    <row r="168" spans="1:11" x14ac:dyDescent="0.35">
      <c r="A168" s="1"/>
      <c r="B168" s="1"/>
      <c r="C168" s="1"/>
      <c r="D168" s="23" t="s">
        <v>10</v>
      </c>
      <c r="E168" s="23"/>
      <c r="F168" s="23"/>
      <c r="G168" s="23"/>
      <c r="H168" s="24" t="s">
        <v>11</v>
      </c>
      <c r="I168" s="24"/>
      <c r="J168" s="24"/>
      <c r="K168" s="24"/>
    </row>
    <row r="169" spans="1:11" x14ac:dyDescent="0.35">
      <c r="A169" s="2" t="s">
        <v>5</v>
      </c>
      <c r="B169" s="3" t="s">
        <v>6</v>
      </c>
      <c r="C169" s="3" t="s">
        <v>8</v>
      </c>
      <c r="D169" s="5" t="s">
        <v>346</v>
      </c>
      <c r="E169" s="5" t="s">
        <v>2</v>
      </c>
      <c r="F169" s="5" t="s">
        <v>341</v>
      </c>
      <c r="G169" s="5" t="s">
        <v>347</v>
      </c>
      <c r="H169" s="6" t="s">
        <v>346</v>
      </c>
      <c r="I169" s="6" t="s">
        <v>2</v>
      </c>
      <c r="J169" s="6" t="s">
        <v>341</v>
      </c>
      <c r="K169" s="6" t="s">
        <v>347</v>
      </c>
    </row>
    <row r="170" spans="1:11" x14ac:dyDescent="0.35">
      <c r="A170" s="8">
        <v>1</v>
      </c>
      <c r="B170" s="1" t="s">
        <v>46</v>
      </c>
      <c r="C170" s="1" t="s">
        <v>15</v>
      </c>
      <c r="D170" s="17">
        <v>143</v>
      </c>
      <c r="E170" s="39">
        <v>69</v>
      </c>
      <c r="F170" s="17">
        <v>46</v>
      </c>
      <c r="G170" s="40">
        <v>-23</v>
      </c>
      <c r="H170" s="39">
        <v>9</v>
      </c>
      <c r="I170" s="39">
        <v>14</v>
      </c>
      <c r="J170" s="19">
        <v>16</v>
      </c>
      <c r="K170" s="20">
        <v>2</v>
      </c>
    </row>
    <row r="171" spans="1:11" x14ac:dyDescent="0.35">
      <c r="A171" s="8">
        <v>2</v>
      </c>
      <c r="B171" s="1" t="s">
        <v>52</v>
      </c>
      <c r="C171" s="1" t="s">
        <v>15</v>
      </c>
      <c r="D171" s="17">
        <v>134</v>
      </c>
      <c r="E171" s="39">
        <v>50</v>
      </c>
      <c r="F171" s="17">
        <v>18</v>
      </c>
      <c r="G171" s="40">
        <v>-32</v>
      </c>
      <c r="H171" s="39">
        <v>0</v>
      </c>
      <c r="I171" s="19">
        <v>4</v>
      </c>
      <c r="J171" s="39">
        <v>1</v>
      </c>
      <c r="K171" s="20">
        <v>-3</v>
      </c>
    </row>
    <row r="172" spans="1:11" x14ac:dyDescent="0.35">
      <c r="A172" s="8">
        <v>3</v>
      </c>
      <c r="B172" s="1" t="s">
        <v>73</v>
      </c>
      <c r="C172" s="1" t="s">
        <v>15</v>
      </c>
      <c r="D172" s="17">
        <v>74</v>
      </c>
      <c r="E172" s="17">
        <v>36</v>
      </c>
      <c r="F172" s="39">
        <v>5</v>
      </c>
      <c r="G172" s="40">
        <v>-31</v>
      </c>
      <c r="H172" s="39">
        <v>1</v>
      </c>
      <c r="I172" s="19">
        <v>3</v>
      </c>
      <c r="J172" s="39">
        <v>1</v>
      </c>
      <c r="K172" s="20">
        <v>-2</v>
      </c>
    </row>
    <row r="173" spans="1:11" x14ac:dyDescent="0.35">
      <c r="A173" s="8">
        <v>4</v>
      </c>
      <c r="B173" s="1" t="s">
        <v>108</v>
      </c>
      <c r="C173" s="1" t="s">
        <v>15</v>
      </c>
      <c r="D173" s="17">
        <v>90</v>
      </c>
      <c r="E173" s="39">
        <v>82</v>
      </c>
      <c r="F173" s="17">
        <v>27</v>
      </c>
      <c r="G173" s="40">
        <v>-55</v>
      </c>
      <c r="H173" s="39">
        <v>4</v>
      </c>
      <c r="I173" s="39">
        <v>29</v>
      </c>
      <c r="J173" s="19">
        <v>7</v>
      </c>
      <c r="K173" s="40">
        <v>-22</v>
      </c>
    </row>
    <row r="174" spans="1:11" x14ac:dyDescent="0.35">
      <c r="A174" s="8">
        <v>5</v>
      </c>
      <c r="B174" s="1" t="s">
        <v>149</v>
      </c>
      <c r="C174" s="1" t="s">
        <v>61</v>
      </c>
      <c r="D174" s="41">
        <v>1004</v>
      </c>
      <c r="E174" s="41">
        <v>321</v>
      </c>
      <c r="F174" s="41">
        <v>183</v>
      </c>
      <c r="G174" s="42">
        <v>-138</v>
      </c>
      <c r="H174" s="41">
        <v>26</v>
      </c>
      <c r="I174" s="41">
        <v>54</v>
      </c>
      <c r="J174" s="41">
        <v>49</v>
      </c>
      <c r="K174" s="42">
        <v>-5</v>
      </c>
    </row>
    <row r="175" spans="1:11" x14ac:dyDescent="0.35">
      <c r="A175" s="8">
        <v>6</v>
      </c>
      <c r="B175" s="1" t="s">
        <v>162</v>
      </c>
      <c r="C175" s="1" t="s">
        <v>61</v>
      </c>
      <c r="D175" s="41">
        <v>585</v>
      </c>
      <c r="E175" s="41">
        <v>246</v>
      </c>
      <c r="F175" s="41">
        <v>93</v>
      </c>
      <c r="G175" s="42">
        <v>-153</v>
      </c>
      <c r="H175" s="41">
        <v>16</v>
      </c>
      <c r="I175" s="41">
        <v>61</v>
      </c>
      <c r="J175" s="41">
        <v>44</v>
      </c>
      <c r="K175" s="42">
        <v>-17</v>
      </c>
    </row>
    <row r="176" spans="1:11" x14ac:dyDescent="0.35">
      <c r="A176" s="8">
        <v>7</v>
      </c>
      <c r="B176" s="1" t="s">
        <v>164</v>
      </c>
      <c r="C176" s="1" t="s">
        <v>15</v>
      </c>
      <c r="D176" s="17">
        <v>184</v>
      </c>
      <c r="E176" s="17">
        <v>30</v>
      </c>
      <c r="F176" s="17">
        <v>20</v>
      </c>
      <c r="G176" s="18">
        <v>-10</v>
      </c>
      <c r="H176" s="39">
        <v>3</v>
      </c>
      <c r="I176" s="39">
        <v>13</v>
      </c>
      <c r="J176" s="19">
        <v>8</v>
      </c>
      <c r="K176" s="20">
        <v>-5</v>
      </c>
    </row>
    <row r="177" spans="1:11" x14ac:dyDescent="0.35">
      <c r="A177" s="8">
        <v>8</v>
      </c>
      <c r="B177" s="1" t="s">
        <v>224</v>
      </c>
      <c r="C177" s="1" t="s">
        <v>15</v>
      </c>
      <c r="D177" s="17">
        <v>145</v>
      </c>
      <c r="E177" s="17">
        <v>33</v>
      </c>
      <c r="F177" s="39">
        <v>6</v>
      </c>
      <c r="G177" s="40">
        <v>-27</v>
      </c>
      <c r="H177" s="39">
        <v>4</v>
      </c>
      <c r="I177" s="39">
        <v>11</v>
      </c>
      <c r="J177" s="19">
        <v>6</v>
      </c>
      <c r="K177" s="20">
        <v>-5</v>
      </c>
    </row>
    <row r="178" spans="1:11" x14ac:dyDescent="0.35">
      <c r="A178" s="8">
        <v>9</v>
      </c>
      <c r="B178" s="1" t="s">
        <v>247</v>
      </c>
      <c r="C178" s="1" t="s">
        <v>15</v>
      </c>
      <c r="D178" s="17">
        <v>152</v>
      </c>
      <c r="E178" s="39">
        <v>61</v>
      </c>
      <c r="F178" s="17">
        <v>20</v>
      </c>
      <c r="G178" s="40">
        <v>-41</v>
      </c>
      <c r="H178" s="39">
        <v>4</v>
      </c>
      <c r="I178" s="39">
        <v>14</v>
      </c>
      <c r="J178" s="19">
        <v>16</v>
      </c>
      <c r="K178" s="20">
        <v>2</v>
      </c>
    </row>
    <row r="179" spans="1:11" x14ac:dyDescent="0.35">
      <c r="A179" s="8">
        <v>12</v>
      </c>
      <c r="B179" s="1" t="s">
        <v>257</v>
      </c>
      <c r="C179" s="1" t="s">
        <v>15</v>
      </c>
      <c r="D179" s="17">
        <v>175</v>
      </c>
      <c r="E179" s="39">
        <v>50</v>
      </c>
      <c r="F179" s="17">
        <v>43</v>
      </c>
      <c r="G179" s="18">
        <v>-7</v>
      </c>
      <c r="H179" s="39">
        <v>1</v>
      </c>
      <c r="I179" s="19">
        <v>8</v>
      </c>
      <c r="J179" s="39">
        <v>6</v>
      </c>
      <c r="K179" s="20">
        <v>-2</v>
      </c>
    </row>
    <row r="180" spans="1:11" x14ac:dyDescent="0.35">
      <c r="A180" s="8">
        <v>13</v>
      </c>
      <c r="B180" s="1" t="s">
        <v>273</v>
      </c>
      <c r="C180" s="1" t="s">
        <v>15</v>
      </c>
      <c r="D180" s="17">
        <v>182</v>
      </c>
      <c r="E180" s="39">
        <v>62</v>
      </c>
      <c r="F180" s="17">
        <v>24</v>
      </c>
      <c r="G180" s="40">
        <v>-38</v>
      </c>
      <c r="H180" s="19">
        <v>9</v>
      </c>
      <c r="I180" s="19">
        <v>6</v>
      </c>
      <c r="J180" s="19">
        <v>10</v>
      </c>
      <c r="K180" s="20">
        <v>4</v>
      </c>
    </row>
    <row r="181" spans="1:11" x14ac:dyDescent="0.35">
      <c r="A181" s="8">
        <v>15.3333333333333</v>
      </c>
      <c r="B181" s="1" t="s">
        <v>312</v>
      </c>
      <c r="C181" s="1" t="s">
        <v>15</v>
      </c>
      <c r="D181" s="17">
        <v>124</v>
      </c>
      <c r="E181" s="17">
        <v>34</v>
      </c>
      <c r="F181" s="17">
        <v>35</v>
      </c>
      <c r="G181" s="18">
        <v>1</v>
      </c>
      <c r="H181" s="39">
        <v>3</v>
      </c>
      <c r="I181" s="19">
        <v>4</v>
      </c>
      <c r="J181" s="19">
        <v>14</v>
      </c>
      <c r="K181" s="20">
        <v>10</v>
      </c>
    </row>
    <row r="182" spans="1:11" x14ac:dyDescent="0.35">
      <c r="A182" s="8">
        <v>17.3333333333333</v>
      </c>
      <c r="B182" s="1" t="s">
        <v>320</v>
      </c>
      <c r="C182" s="1" t="s">
        <v>15</v>
      </c>
      <c r="D182" s="17">
        <v>186</v>
      </c>
      <c r="E182" s="39">
        <v>60</v>
      </c>
      <c r="F182" s="17">
        <v>32</v>
      </c>
      <c r="G182" s="40">
        <v>-28</v>
      </c>
      <c r="H182" s="39">
        <v>4</v>
      </c>
      <c r="I182" s="19">
        <v>9</v>
      </c>
      <c r="J182" s="19">
        <v>8</v>
      </c>
      <c r="K182" s="20">
        <v>-1</v>
      </c>
    </row>
    <row r="183" spans="1:11" x14ac:dyDescent="0.35">
      <c r="D183" s="43">
        <f>SUM(D170:D182)-D174-D175</f>
        <v>1589</v>
      </c>
      <c r="E183" s="43">
        <f t="shared" ref="E183:K183" si="10">SUM(E170:E182)-E174-E175</f>
        <v>567</v>
      </c>
      <c r="F183" s="43">
        <f t="shared" si="10"/>
        <v>276</v>
      </c>
      <c r="G183" s="40">
        <f t="shared" si="10"/>
        <v>-291</v>
      </c>
      <c r="H183" s="43">
        <f t="shared" si="10"/>
        <v>42</v>
      </c>
      <c r="I183" s="43">
        <f t="shared" si="10"/>
        <v>115</v>
      </c>
      <c r="J183" s="43">
        <f t="shared" si="10"/>
        <v>93</v>
      </c>
      <c r="K183" s="40">
        <f t="shared" si="10"/>
        <v>-22</v>
      </c>
    </row>
    <row r="185" spans="1:11" ht="18.5" x14ac:dyDescent="0.45">
      <c r="B185" s="37" t="s">
        <v>363</v>
      </c>
    </row>
    <row r="186" spans="1:11" x14ac:dyDescent="0.35">
      <c r="A186" s="1"/>
      <c r="B186" s="1"/>
      <c r="C186" s="1"/>
      <c r="D186" s="31" t="s">
        <v>343</v>
      </c>
      <c r="E186" s="32"/>
      <c r="F186" s="32"/>
      <c r="G186" s="32"/>
      <c r="H186" s="32"/>
      <c r="I186" s="32"/>
      <c r="J186" s="32"/>
      <c r="K186" s="32"/>
    </row>
    <row r="187" spans="1:11" x14ac:dyDescent="0.35">
      <c r="A187" s="1"/>
      <c r="B187" s="1"/>
      <c r="C187" s="1"/>
      <c r="D187" s="23" t="s">
        <v>10</v>
      </c>
      <c r="E187" s="23"/>
      <c r="F187" s="23"/>
      <c r="G187" s="23"/>
      <c r="H187" s="24" t="s">
        <v>11</v>
      </c>
      <c r="I187" s="24"/>
      <c r="J187" s="24"/>
      <c r="K187" s="24"/>
    </row>
    <row r="188" spans="1:11" x14ac:dyDescent="0.35">
      <c r="A188" s="2" t="s">
        <v>5</v>
      </c>
      <c r="B188" s="3" t="s">
        <v>6</v>
      </c>
      <c r="C188" s="3" t="s">
        <v>8</v>
      </c>
      <c r="D188" s="5" t="s">
        <v>346</v>
      </c>
      <c r="E188" s="5" t="s">
        <v>2</v>
      </c>
      <c r="F188" s="5" t="s">
        <v>341</v>
      </c>
      <c r="G188" s="5" t="s">
        <v>347</v>
      </c>
      <c r="H188" s="6" t="s">
        <v>346</v>
      </c>
      <c r="I188" s="6" t="s">
        <v>2</v>
      </c>
      <c r="J188" s="6" t="s">
        <v>341</v>
      </c>
      <c r="K188" s="6" t="s">
        <v>347</v>
      </c>
    </row>
    <row r="189" spans="1:11" x14ac:dyDescent="0.35">
      <c r="A189" s="8">
        <v>1</v>
      </c>
      <c r="B189" s="1" t="s">
        <v>99</v>
      </c>
      <c r="C189" s="1" t="s">
        <v>15</v>
      </c>
      <c r="D189" s="17">
        <v>181</v>
      </c>
      <c r="E189" s="39">
        <v>47</v>
      </c>
      <c r="F189" s="39">
        <v>10</v>
      </c>
      <c r="G189" s="40">
        <v>-37</v>
      </c>
      <c r="H189" s="19">
        <v>8</v>
      </c>
      <c r="I189" s="39">
        <v>15</v>
      </c>
      <c r="J189" s="19">
        <v>9</v>
      </c>
      <c r="K189" s="40">
        <v>-6</v>
      </c>
    </row>
    <row r="190" spans="1:11" x14ac:dyDescent="0.35">
      <c r="A190" s="8">
        <v>2</v>
      </c>
      <c r="B190" s="1" t="s">
        <v>102</v>
      </c>
      <c r="C190" s="1" t="s">
        <v>15</v>
      </c>
      <c r="D190" s="17">
        <v>142</v>
      </c>
      <c r="E190" s="39">
        <v>41</v>
      </c>
      <c r="F190" s="39">
        <v>7</v>
      </c>
      <c r="G190" s="40">
        <v>-34</v>
      </c>
      <c r="H190" s="39">
        <v>4</v>
      </c>
      <c r="I190" s="39">
        <v>15</v>
      </c>
      <c r="J190" s="19">
        <v>6</v>
      </c>
      <c r="K190" s="40">
        <v>-9</v>
      </c>
    </row>
    <row r="191" spans="1:11" x14ac:dyDescent="0.35">
      <c r="A191" s="8">
        <v>3</v>
      </c>
      <c r="B191" s="1" t="s">
        <v>122</v>
      </c>
      <c r="C191" s="1" t="s">
        <v>15</v>
      </c>
      <c r="D191" s="17">
        <v>155</v>
      </c>
      <c r="E191" s="39">
        <v>42</v>
      </c>
      <c r="F191" s="39">
        <v>10</v>
      </c>
      <c r="G191" s="40">
        <v>-32</v>
      </c>
      <c r="H191" s="19">
        <v>7</v>
      </c>
      <c r="I191" s="19">
        <v>7</v>
      </c>
      <c r="J191" s="19">
        <v>8</v>
      </c>
      <c r="K191" s="20">
        <v>1</v>
      </c>
    </row>
    <row r="192" spans="1:11" x14ac:dyDescent="0.35">
      <c r="A192" s="8">
        <v>4</v>
      </c>
      <c r="B192" s="1" t="s">
        <v>249</v>
      </c>
      <c r="C192" s="1" t="s">
        <v>15</v>
      </c>
      <c r="D192" s="17">
        <v>117</v>
      </c>
      <c r="E192" s="39">
        <v>36</v>
      </c>
      <c r="F192" s="39">
        <v>23</v>
      </c>
      <c r="G192" s="40">
        <v>-13</v>
      </c>
      <c r="H192" s="19">
        <v>7</v>
      </c>
      <c r="I192" s="19">
        <v>8</v>
      </c>
      <c r="J192" s="19">
        <v>9</v>
      </c>
      <c r="K192" s="20">
        <v>1</v>
      </c>
    </row>
    <row r="193" spans="1:11" x14ac:dyDescent="0.35">
      <c r="A193" s="8">
        <v>5</v>
      </c>
      <c r="B193" s="1" t="s">
        <v>255</v>
      </c>
      <c r="C193" s="1" t="s">
        <v>15</v>
      </c>
      <c r="D193" s="17">
        <v>164</v>
      </c>
      <c r="E193" s="39">
        <v>27</v>
      </c>
      <c r="F193" s="39">
        <v>13</v>
      </c>
      <c r="G193" s="40">
        <v>-14</v>
      </c>
      <c r="H193" s="39">
        <v>2</v>
      </c>
      <c r="I193" s="19">
        <v>4</v>
      </c>
      <c r="J193" s="19">
        <v>2</v>
      </c>
      <c r="K193" s="40">
        <v>-2</v>
      </c>
    </row>
    <row r="194" spans="1:11" x14ac:dyDescent="0.35">
      <c r="A194" s="8">
        <v>6</v>
      </c>
      <c r="B194" s="1" t="s">
        <v>336</v>
      </c>
      <c r="C194" s="49" t="s">
        <v>61</v>
      </c>
      <c r="D194" s="41">
        <v>759</v>
      </c>
      <c r="E194" s="41">
        <v>193</v>
      </c>
      <c r="F194" s="41">
        <v>63</v>
      </c>
      <c r="G194" s="42">
        <v>-130</v>
      </c>
      <c r="H194" s="41">
        <v>28</v>
      </c>
      <c r="I194" s="41">
        <v>49</v>
      </c>
      <c r="J194" s="41">
        <v>34</v>
      </c>
      <c r="K194" s="42">
        <v>-15</v>
      </c>
    </row>
    <row r="195" spans="1:11" x14ac:dyDescent="0.35">
      <c r="D195" s="43">
        <f>SUM(D189:D193)</f>
        <v>759</v>
      </c>
      <c r="E195" s="43">
        <f t="shared" ref="E195:K195" si="11">SUM(E189:E193)</f>
        <v>193</v>
      </c>
      <c r="F195" s="43">
        <f t="shared" si="11"/>
        <v>63</v>
      </c>
      <c r="G195" s="40">
        <f t="shared" si="11"/>
        <v>-130</v>
      </c>
      <c r="H195" s="43">
        <f t="shared" si="11"/>
        <v>28</v>
      </c>
      <c r="I195" s="43">
        <f t="shared" si="11"/>
        <v>49</v>
      </c>
      <c r="J195" s="43">
        <f t="shared" si="11"/>
        <v>34</v>
      </c>
      <c r="K195" s="40">
        <f t="shared" si="11"/>
        <v>-15</v>
      </c>
    </row>
    <row r="197" spans="1:11" ht="18.5" x14ac:dyDescent="0.45">
      <c r="B197" s="37" t="s">
        <v>364</v>
      </c>
    </row>
    <row r="198" spans="1:11" x14ac:dyDescent="0.35">
      <c r="A198" s="1"/>
      <c r="B198" s="1"/>
      <c r="C198" s="1"/>
      <c r="D198" s="31" t="s">
        <v>343</v>
      </c>
      <c r="E198" s="32"/>
      <c r="F198" s="32"/>
      <c r="G198" s="32"/>
      <c r="H198" s="32"/>
      <c r="I198" s="32"/>
      <c r="J198" s="32"/>
      <c r="K198" s="32"/>
    </row>
    <row r="199" spans="1:11" x14ac:dyDescent="0.35">
      <c r="A199" s="1"/>
      <c r="B199" s="1"/>
      <c r="C199" s="1"/>
      <c r="D199" s="23" t="s">
        <v>10</v>
      </c>
      <c r="E199" s="23"/>
      <c r="F199" s="23"/>
      <c r="G199" s="23"/>
      <c r="H199" s="24" t="s">
        <v>11</v>
      </c>
      <c r="I199" s="24"/>
      <c r="J199" s="24"/>
      <c r="K199" s="24"/>
    </row>
    <row r="200" spans="1:11" x14ac:dyDescent="0.35">
      <c r="A200" s="2" t="s">
        <v>5</v>
      </c>
      <c r="B200" s="3" t="s">
        <v>6</v>
      </c>
      <c r="C200" s="3" t="s">
        <v>8</v>
      </c>
      <c r="D200" s="5" t="s">
        <v>346</v>
      </c>
      <c r="E200" s="5" t="s">
        <v>2</v>
      </c>
      <c r="F200" s="5" t="s">
        <v>341</v>
      </c>
      <c r="G200" s="5" t="s">
        <v>347</v>
      </c>
      <c r="H200" s="6" t="s">
        <v>346</v>
      </c>
      <c r="I200" s="6" t="s">
        <v>2</v>
      </c>
      <c r="J200" s="6" t="s">
        <v>341</v>
      </c>
      <c r="K200" s="6" t="s">
        <v>347</v>
      </c>
    </row>
    <row r="201" spans="1:11" x14ac:dyDescent="0.35">
      <c r="A201" s="8">
        <v>1</v>
      </c>
      <c r="B201" s="1" t="s">
        <v>35</v>
      </c>
      <c r="C201" s="1" t="s">
        <v>15</v>
      </c>
      <c r="D201" s="17">
        <v>128</v>
      </c>
      <c r="E201" s="39">
        <v>30</v>
      </c>
      <c r="F201" s="17">
        <v>26</v>
      </c>
      <c r="G201" s="18">
        <v>-4</v>
      </c>
      <c r="H201" s="39">
        <v>9</v>
      </c>
      <c r="I201" s="39">
        <v>21</v>
      </c>
      <c r="J201" s="19">
        <v>17</v>
      </c>
      <c r="K201" s="40">
        <v>-4</v>
      </c>
    </row>
    <row r="202" spans="1:11" x14ac:dyDescent="0.35">
      <c r="A202" s="8">
        <v>2</v>
      </c>
      <c r="B202" s="1" t="s">
        <v>40</v>
      </c>
      <c r="C202" s="1" t="s">
        <v>15</v>
      </c>
      <c r="D202" s="17">
        <v>114</v>
      </c>
      <c r="E202" s="17">
        <v>24</v>
      </c>
      <c r="F202" s="17">
        <v>24</v>
      </c>
      <c r="G202" s="18">
        <v>0</v>
      </c>
      <c r="H202" s="39">
        <v>4</v>
      </c>
      <c r="I202" s="39">
        <v>21</v>
      </c>
      <c r="J202" s="19">
        <v>5</v>
      </c>
      <c r="K202" s="40">
        <v>-16</v>
      </c>
    </row>
    <row r="203" spans="1:11" x14ac:dyDescent="0.35">
      <c r="A203" s="8">
        <v>3</v>
      </c>
      <c r="B203" s="1" t="s">
        <v>54</v>
      </c>
      <c r="C203" s="1" t="s">
        <v>15</v>
      </c>
      <c r="D203" s="17">
        <v>193</v>
      </c>
      <c r="E203" s="17">
        <v>25</v>
      </c>
      <c r="F203" s="17">
        <v>54</v>
      </c>
      <c r="G203" s="18">
        <v>29</v>
      </c>
      <c r="H203" s="39">
        <v>7</v>
      </c>
      <c r="I203" s="39">
        <v>10</v>
      </c>
      <c r="J203" s="19">
        <v>8</v>
      </c>
      <c r="K203" s="40">
        <v>-2</v>
      </c>
    </row>
    <row r="204" spans="1:11" x14ac:dyDescent="0.35">
      <c r="A204" s="8">
        <v>4</v>
      </c>
      <c r="B204" s="1" t="s">
        <v>79</v>
      </c>
      <c r="C204" s="1" t="s">
        <v>15</v>
      </c>
      <c r="D204" s="17">
        <v>114</v>
      </c>
      <c r="E204" s="17">
        <v>20</v>
      </c>
      <c r="F204" s="17">
        <v>35</v>
      </c>
      <c r="G204" s="18">
        <v>15</v>
      </c>
      <c r="H204" s="39">
        <v>1</v>
      </c>
      <c r="I204" s="39">
        <v>10</v>
      </c>
      <c r="J204" s="19">
        <v>3</v>
      </c>
      <c r="K204" s="40">
        <v>-7</v>
      </c>
    </row>
    <row r="205" spans="1:11" x14ac:dyDescent="0.35">
      <c r="A205" s="8">
        <v>5</v>
      </c>
      <c r="B205" s="1" t="s">
        <v>104</v>
      </c>
      <c r="C205" s="1" t="s">
        <v>15</v>
      </c>
      <c r="D205" s="17">
        <v>161</v>
      </c>
      <c r="E205" s="17">
        <v>28</v>
      </c>
      <c r="F205" s="17">
        <v>21</v>
      </c>
      <c r="G205" s="18">
        <v>-7</v>
      </c>
      <c r="H205" s="39">
        <v>3</v>
      </c>
      <c r="I205" s="19">
        <v>4</v>
      </c>
      <c r="J205" s="19">
        <v>4</v>
      </c>
      <c r="K205" s="20">
        <v>0</v>
      </c>
    </row>
    <row r="206" spans="1:11" x14ac:dyDescent="0.35">
      <c r="A206" s="8">
        <v>6</v>
      </c>
      <c r="B206" s="1" t="s">
        <v>118</v>
      </c>
      <c r="C206" s="1" t="s">
        <v>15</v>
      </c>
      <c r="D206" s="17">
        <v>82</v>
      </c>
      <c r="E206" s="17">
        <v>15</v>
      </c>
      <c r="F206" s="17">
        <v>64</v>
      </c>
      <c r="G206" s="18">
        <v>49</v>
      </c>
      <c r="H206" s="39">
        <v>5</v>
      </c>
      <c r="I206" s="39">
        <v>25</v>
      </c>
      <c r="J206" s="19">
        <v>12</v>
      </c>
      <c r="K206" s="40">
        <v>-13</v>
      </c>
    </row>
    <row r="207" spans="1:11" x14ac:dyDescent="0.35">
      <c r="A207" s="8">
        <v>7</v>
      </c>
      <c r="B207" s="1" t="s">
        <v>120</v>
      </c>
      <c r="C207" s="1" t="s">
        <v>15</v>
      </c>
      <c r="D207" s="17">
        <v>86</v>
      </c>
      <c r="E207" s="39">
        <v>59</v>
      </c>
      <c r="F207" s="39">
        <v>14</v>
      </c>
      <c r="G207" s="40">
        <v>-45</v>
      </c>
      <c r="H207" s="39">
        <v>0</v>
      </c>
      <c r="I207" s="19">
        <v>1</v>
      </c>
      <c r="J207" s="19">
        <v>0</v>
      </c>
      <c r="K207" s="40">
        <v>-1</v>
      </c>
    </row>
    <row r="208" spans="1:11" x14ac:dyDescent="0.35">
      <c r="A208" s="8">
        <v>8</v>
      </c>
      <c r="B208" s="1" t="s">
        <v>140</v>
      </c>
      <c r="C208" s="1" t="s">
        <v>15</v>
      </c>
      <c r="D208" s="17">
        <v>155</v>
      </c>
      <c r="E208" s="17">
        <v>19</v>
      </c>
      <c r="F208" s="17">
        <v>30</v>
      </c>
      <c r="G208" s="18">
        <v>11</v>
      </c>
      <c r="H208" s="39">
        <v>1</v>
      </c>
      <c r="I208" s="19">
        <v>8</v>
      </c>
      <c r="J208" s="19">
        <v>5</v>
      </c>
      <c r="K208" s="40">
        <v>-3</v>
      </c>
    </row>
    <row r="209" spans="1:11" x14ac:dyDescent="0.35">
      <c r="A209" s="8">
        <v>9</v>
      </c>
      <c r="B209" s="1" t="s">
        <v>206</v>
      </c>
      <c r="C209" s="1" t="s">
        <v>15</v>
      </c>
      <c r="D209" s="17">
        <v>156</v>
      </c>
      <c r="E209" s="39">
        <v>42</v>
      </c>
      <c r="F209" s="17">
        <v>24</v>
      </c>
      <c r="G209" s="40">
        <v>-18</v>
      </c>
      <c r="H209" s="39">
        <v>1</v>
      </c>
      <c r="I209" s="19">
        <v>8</v>
      </c>
      <c r="J209" s="19">
        <v>5</v>
      </c>
      <c r="K209" s="40">
        <v>-3</v>
      </c>
    </row>
    <row r="210" spans="1:11" x14ac:dyDescent="0.35">
      <c r="A210" s="8">
        <v>10</v>
      </c>
      <c r="B210" s="1" t="s">
        <v>210</v>
      </c>
      <c r="C210" s="1" t="s">
        <v>15</v>
      </c>
      <c r="D210" s="17">
        <v>107</v>
      </c>
      <c r="E210" s="17">
        <v>11</v>
      </c>
      <c r="F210" s="17">
        <v>64</v>
      </c>
      <c r="G210" s="18">
        <v>53</v>
      </c>
      <c r="H210" s="39">
        <v>9</v>
      </c>
      <c r="I210" s="39">
        <v>16</v>
      </c>
      <c r="J210" s="19">
        <v>20</v>
      </c>
      <c r="K210" s="20">
        <v>4</v>
      </c>
    </row>
    <row r="211" spans="1:11" x14ac:dyDescent="0.35">
      <c r="A211" s="8">
        <v>11</v>
      </c>
      <c r="B211" s="1" t="s">
        <v>226</v>
      </c>
      <c r="C211" s="1" t="s">
        <v>15</v>
      </c>
      <c r="D211" s="17">
        <v>109</v>
      </c>
      <c r="E211" s="39">
        <v>31</v>
      </c>
      <c r="F211" s="17">
        <v>41</v>
      </c>
      <c r="G211" s="18">
        <v>10</v>
      </c>
      <c r="H211" s="39">
        <v>9</v>
      </c>
      <c r="I211" s="39">
        <v>16</v>
      </c>
      <c r="J211" s="19">
        <v>21</v>
      </c>
      <c r="K211" s="20">
        <v>5</v>
      </c>
    </row>
    <row r="212" spans="1:11" x14ac:dyDescent="0.35">
      <c r="A212" s="8">
        <v>12</v>
      </c>
      <c r="B212" s="1" t="s">
        <v>231</v>
      </c>
      <c r="C212" s="1" t="s">
        <v>15</v>
      </c>
      <c r="D212" s="17">
        <v>117</v>
      </c>
      <c r="E212" s="17">
        <v>24</v>
      </c>
      <c r="F212" s="17">
        <v>24</v>
      </c>
      <c r="G212" s="18">
        <v>0</v>
      </c>
      <c r="H212" s="39">
        <v>6</v>
      </c>
      <c r="I212" s="39">
        <v>13</v>
      </c>
      <c r="J212" s="19">
        <v>13</v>
      </c>
      <c r="K212" s="20">
        <v>0</v>
      </c>
    </row>
    <row r="213" spans="1:11" x14ac:dyDescent="0.35">
      <c r="A213" s="8">
        <v>13</v>
      </c>
      <c r="B213" s="1" t="s">
        <v>233</v>
      </c>
      <c r="C213" s="1" t="s">
        <v>61</v>
      </c>
      <c r="D213" s="41">
        <v>759</v>
      </c>
      <c r="E213" s="41">
        <v>166</v>
      </c>
      <c r="F213" s="41">
        <v>209</v>
      </c>
      <c r="G213" s="42">
        <v>43</v>
      </c>
      <c r="H213" s="41">
        <v>24</v>
      </c>
      <c r="I213" s="41">
        <v>74</v>
      </c>
      <c r="J213" s="41">
        <v>65</v>
      </c>
      <c r="K213" s="42">
        <v>-9</v>
      </c>
    </row>
    <row r="214" spans="1:11" x14ac:dyDescent="0.35">
      <c r="A214" s="8">
        <v>14</v>
      </c>
      <c r="B214" s="1" t="s">
        <v>237</v>
      </c>
      <c r="C214" s="1" t="s">
        <v>15</v>
      </c>
      <c r="D214" s="17">
        <v>140</v>
      </c>
      <c r="E214" s="39">
        <v>31</v>
      </c>
      <c r="F214" s="39">
        <v>16</v>
      </c>
      <c r="G214" s="40">
        <v>-15</v>
      </c>
      <c r="H214" s="39">
        <v>0</v>
      </c>
      <c r="I214" s="39">
        <v>12</v>
      </c>
      <c r="J214" s="19">
        <v>3</v>
      </c>
      <c r="K214" s="40">
        <v>-9</v>
      </c>
    </row>
    <row r="215" spans="1:11" x14ac:dyDescent="0.35">
      <c r="A215" s="8">
        <v>15</v>
      </c>
      <c r="B215" s="1" t="s">
        <v>253</v>
      </c>
      <c r="C215" s="1" t="s">
        <v>15</v>
      </c>
      <c r="D215" s="17">
        <v>131</v>
      </c>
      <c r="E215" s="39">
        <v>81</v>
      </c>
      <c r="F215" s="17">
        <v>36</v>
      </c>
      <c r="G215" s="40">
        <v>-45</v>
      </c>
      <c r="H215" s="39">
        <v>1</v>
      </c>
      <c r="I215" s="39">
        <v>31</v>
      </c>
      <c r="J215" s="19">
        <v>6</v>
      </c>
      <c r="K215" s="40">
        <v>-25</v>
      </c>
    </row>
    <row r="216" spans="1:11" x14ac:dyDescent="0.35">
      <c r="A216" s="8">
        <v>16</v>
      </c>
      <c r="B216" s="1" t="s">
        <v>261</v>
      </c>
      <c r="C216" s="1" t="s">
        <v>15</v>
      </c>
      <c r="D216" s="17">
        <v>140</v>
      </c>
      <c r="E216" s="39">
        <v>35</v>
      </c>
      <c r="F216" s="17">
        <v>26</v>
      </c>
      <c r="G216" s="18">
        <v>-9</v>
      </c>
      <c r="H216" s="39">
        <v>2</v>
      </c>
      <c r="I216" s="19">
        <v>4</v>
      </c>
      <c r="J216" s="19">
        <v>9</v>
      </c>
      <c r="K216" s="20">
        <v>5</v>
      </c>
    </row>
    <row r="217" spans="1:11" x14ac:dyDescent="0.35">
      <c r="A217" s="8">
        <v>17</v>
      </c>
      <c r="B217" s="1" t="s">
        <v>263</v>
      </c>
      <c r="C217" s="1" t="s">
        <v>15</v>
      </c>
      <c r="D217" s="17">
        <v>197</v>
      </c>
      <c r="E217" s="39">
        <v>48</v>
      </c>
      <c r="F217" s="17">
        <v>33</v>
      </c>
      <c r="G217" s="40">
        <v>-15</v>
      </c>
      <c r="H217" s="39">
        <v>1</v>
      </c>
      <c r="I217" s="39">
        <v>10</v>
      </c>
      <c r="J217" s="19">
        <v>4</v>
      </c>
      <c r="K217" s="40">
        <v>-6</v>
      </c>
    </row>
    <row r="218" spans="1:11" x14ac:dyDescent="0.35">
      <c r="A218" s="8">
        <v>18</v>
      </c>
      <c r="B218" s="1" t="s">
        <v>267</v>
      </c>
      <c r="C218" s="1" t="s">
        <v>15</v>
      </c>
      <c r="D218" s="17">
        <v>101</v>
      </c>
      <c r="E218" s="17">
        <v>18</v>
      </c>
      <c r="F218" s="39">
        <v>17</v>
      </c>
      <c r="G218" s="18">
        <v>-1</v>
      </c>
      <c r="H218" s="19">
        <v>28</v>
      </c>
      <c r="I218" s="39">
        <v>48</v>
      </c>
      <c r="J218" s="19">
        <v>51</v>
      </c>
      <c r="K218" s="20">
        <v>3</v>
      </c>
    </row>
    <row r="219" spans="1:11" x14ac:dyDescent="0.35">
      <c r="A219" s="8">
        <v>19</v>
      </c>
      <c r="B219" s="1" t="s">
        <v>283</v>
      </c>
      <c r="C219" s="1" t="s">
        <v>15</v>
      </c>
      <c r="D219" s="17">
        <v>300</v>
      </c>
      <c r="E219" s="39">
        <v>56</v>
      </c>
      <c r="F219" s="17">
        <v>66</v>
      </c>
      <c r="G219" s="18">
        <v>10</v>
      </c>
      <c r="H219" s="19">
        <v>12</v>
      </c>
      <c r="I219" s="39">
        <v>14</v>
      </c>
      <c r="J219" s="19">
        <v>18</v>
      </c>
      <c r="K219" s="20">
        <v>4</v>
      </c>
    </row>
    <row r="220" spans="1:11" x14ac:dyDescent="0.35">
      <c r="A220" s="8">
        <v>20</v>
      </c>
      <c r="B220" s="1" t="s">
        <v>291</v>
      </c>
      <c r="C220" s="1" t="s">
        <v>15</v>
      </c>
      <c r="D220" s="17">
        <v>130</v>
      </c>
      <c r="E220" s="17">
        <v>16</v>
      </c>
      <c r="F220" s="17">
        <v>58</v>
      </c>
      <c r="G220" s="18">
        <v>42</v>
      </c>
      <c r="H220" s="39">
        <v>1</v>
      </c>
      <c r="I220" s="19">
        <v>2</v>
      </c>
      <c r="J220" s="19">
        <v>5</v>
      </c>
      <c r="K220" s="20">
        <v>3</v>
      </c>
    </row>
    <row r="221" spans="1:11" x14ac:dyDescent="0.35">
      <c r="A221" s="8">
        <v>21</v>
      </c>
      <c r="B221" s="1" t="s">
        <v>302</v>
      </c>
      <c r="C221" s="1" t="s">
        <v>15</v>
      </c>
      <c r="D221" s="17">
        <v>170</v>
      </c>
      <c r="E221" s="17">
        <v>29</v>
      </c>
      <c r="F221" s="17">
        <v>66</v>
      </c>
      <c r="G221" s="18">
        <v>37</v>
      </c>
      <c r="H221" s="19">
        <v>16</v>
      </c>
      <c r="I221" s="39">
        <v>38</v>
      </c>
      <c r="J221" s="19">
        <v>61</v>
      </c>
      <c r="K221" s="20">
        <v>23</v>
      </c>
    </row>
    <row r="222" spans="1:11" x14ac:dyDescent="0.35">
      <c r="A222" s="8">
        <v>22</v>
      </c>
      <c r="B222" s="1" t="s">
        <v>328</v>
      </c>
      <c r="C222" s="1" t="s">
        <v>61</v>
      </c>
      <c r="D222" s="41">
        <v>1095</v>
      </c>
      <c r="E222" s="41">
        <v>250</v>
      </c>
      <c r="F222" s="41">
        <v>259</v>
      </c>
      <c r="G222" s="42">
        <v>9</v>
      </c>
      <c r="H222" s="41">
        <v>39</v>
      </c>
      <c r="I222" s="41">
        <v>109</v>
      </c>
      <c r="J222" s="41">
        <v>100</v>
      </c>
      <c r="K222" s="42">
        <v>-9</v>
      </c>
    </row>
    <row r="223" spans="1:11" x14ac:dyDescent="0.35">
      <c r="D223" s="43">
        <f>SUM(D201:D222)-D213-D222</f>
        <v>2831</v>
      </c>
      <c r="E223" s="43">
        <f t="shared" ref="E223:K223" si="12">SUM(E201:E222)-E213-E222</f>
        <v>642</v>
      </c>
      <c r="F223" s="43">
        <f t="shared" si="12"/>
        <v>739</v>
      </c>
      <c r="G223" s="43">
        <f t="shared" si="12"/>
        <v>97</v>
      </c>
      <c r="H223" s="43">
        <f t="shared" si="12"/>
        <v>116</v>
      </c>
      <c r="I223" s="43">
        <f t="shared" si="12"/>
        <v>312</v>
      </c>
      <c r="J223" s="43">
        <f t="shared" si="12"/>
        <v>270</v>
      </c>
      <c r="K223" s="40">
        <f t="shared" si="12"/>
        <v>-42</v>
      </c>
    </row>
    <row r="225" spans="1:11" ht="18.5" x14ac:dyDescent="0.45">
      <c r="B225" s="50" t="s">
        <v>299</v>
      </c>
    </row>
    <row r="226" spans="1:11" x14ac:dyDescent="0.35">
      <c r="A226" s="1"/>
      <c r="B226" s="1"/>
      <c r="C226" s="1"/>
      <c r="D226" s="31" t="s">
        <v>343</v>
      </c>
      <c r="E226" s="32"/>
      <c r="F226" s="32"/>
      <c r="G226" s="32"/>
      <c r="H226" s="32"/>
      <c r="I226" s="32"/>
      <c r="J226" s="32"/>
      <c r="K226" s="32"/>
    </row>
    <row r="227" spans="1:11" x14ac:dyDescent="0.35">
      <c r="A227" s="1"/>
      <c r="B227" s="1"/>
      <c r="C227" s="1"/>
      <c r="D227" s="23" t="s">
        <v>10</v>
      </c>
      <c r="E227" s="23"/>
      <c r="F227" s="23"/>
      <c r="G227" s="23"/>
      <c r="H227" s="24" t="s">
        <v>11</v>
      </c>
      <c r="I227" s="24"/>
      <c r="J227" s="24"/>
      <c r="K227" s="24"/>
    </row>
    <row r="228" spans="1:11" x14ac:dyDescent="0.35">
      <c r="A228" s="2" t="s">
        <v>5</v>
      </c>
      <c r="B228" s="3" t="s">
        <v>6</v>
      </c>
      <c r="C228" s="3" t="s">
        <v>8</v>
      </c>
      <c r="D228" s="5" t="s">
        <v>346</v>
      </c>
      <c r="E228" s="5" t="s">
        <v>2</v>
      </c>
      <c r="F228" s="5" t="s">
        <v>341</v>
      </c>
      <c r="G228" s="5" t="s">
        <v>347</v>
      </c>
      <c r="H228" s="6" t="s">
        <v>346</v>
      </c>
      <c r="I228" s="6" t="s">
        <v>2</v>
      </c>
      <c r="J228" s="6" t="s">
        <v>341</v>
      </c>
      <c r="K228" s="6" t="s">
        <v>347</v>
      </c>
    </row>
    <row r="229" spans="1:11" x14ac:dyDescent="0.35">
      <c r="A229" s="8">
        <v>1</v>
      </c>
      <c r="B229" s="1" t="s">
        <v>297</v>
      </c>
      <c r="C229" s="1" t="s">
        <v>61</v>
      </c>
      <c r="D229" s="17">
        <v>853</v>
      </c>
      <c r="E229" s="17">
        <v>100</v>
      </c>
      <c r="F229" s="17">
        <v>201</v>
      </c>
      <c r="G229" s="18">
        <v>101</v>
      </c>
      <c r="H229" s="19">
        <v>41</v>
      </c>
      <c r="I229" s="19">
        <v>79</v>
      </c>
      <c r="J229" s="19">
        <v>80</v>
      </c>
      <c r="K229" s="20">
        <v>1</v>
      </c>
    </row>
    <row r="230" spans="1:11" x14ac:dyDescent="0.35">
      <c r="D230" s="44">
        <v>853</v>
      </c>
      <c r="E230" s="44">
        <v>100</v>
      </c>
      <c r="F230" s="44">
        <v>201</v>
      </c>
      <c r="G230" s="43">
        <v>101</v>
      </c>
      <c r="H230" s="44">
        <v>41</v>
      </c>
      <c r="I230" s="44">
        <v>79</v>
      </c>
      <c r="J230" s="44">
        <v>80</v>
      </c>
      <c r="K230" s="43">
        <v>1</v>
      </c>
    </row>
    <row r="232" spans="1:11" ht="18.5" x14ac:dyDescent="0.45">
      <c r="B232" s="50" t="s">
        <v>85</v>
      </c>
    </row>
    <row r="233" spans="1:11" x14ac:dyDescent="0.35">
      <c r="A233" s="1"/>
      <c r="B233" s="1"/>
      <c r="C233" s="1"/>
      <c r="D233" s="31" t="s">
        <v>343</v>
      </c>
      <c r="E233" s="32"/>
      <c r="F233" s="32"/>
      <c r="G233" s="32"/>
      <c r="H233" s="32"/>
      <c r="I233" s="32"/>
      <c r="J233" s="32"/>
      <c r="K233" s="32"/>
    </row>
    <row r="234" spans="1:11" x14ac:dyDescent="0.35">
      <c r="A234" s="1"/>
      <c r="B234" s="1"/>
      <c r="C234" s="1"/>
      <c r="D234" s="23" t="s">
        <v>10</v>
      </c>
      <c r="E234" s="23"/>
      <c r="F234" s="23"/>
      <c r="G234" s="23"/>
      <c r="H234" s="24" t="s">
        <v>11</v>
      </c>
      <c r="I234" s="24"/>
      <c r="J234" s="24"/>
      <c r="K234" s="24"/>
    </row>
    <row r="235" spans="1:11" x14ac:dyDescent="0.35">
      <c r="A235" s="2" t="s">
        <v>5</v>
      </c>
      <c r="B235" s="3" t="s">
        <v>6</v>
      </c>
      <c r="C235" s="3" t="s">
        <v>8</v>
      </c>
      <c r="D235" s="5" t="s">
        <v>346</v>
      </c>
      <c r="E235" s="5" t="s">
        <v>2</v>
      </c>
      <c r="F235" s="5" t="s">
        <v>341</v>
      </c>
      <c r="G235" s="5" t="s">
        <v>347</v>
      </c>
      <c r="H235" s="6" t="s">
        <v>346</v>
      </c>
      <c r="I235" s="6" t="s">
        <v>2</v>
      </c>
      <c r="J235" s="6" t="s">
        <v>341</v>
      </c>
      <c r="K235" s="6" t="s">
        <v>347</v>
      </c>
    </row>
    <row r="236" spans="1:11" x14ac:dyDescent="0.35">
      <c r="A236" s="8">
        <v>1</v>
      </c>
      <c r="B236" s="1" t="s">
        <v>83</v>
      </c>
      <c r="C236" s="1" t="s">
        <v>61</v>
      </c>
      <c r="D236" s="17">
        <v>780</v>
      </c>
      <c r="E236" s="17">
        <v>222</v>
      </c>
      <c r="F236" s="17">
        <v>165</v>
      </c>
      <c r="G236" s="18">
        <v>-57</v>
      </c>
      <c r="H236" s="19">
        <v>30</v>
      </c>
      <c r="I236" s="19">
        <v>81</v>
      </c>
      <c r="J236" s="19">
        <v>51</v>
      </c>
      <c r="K236" s="20">
        <v>-30</v>
      </c>
    </row>
    <row r="237" spans="1:11" x14ac:dyDescent="0.35">
      <c r="D237" s="44">
        <v>780</v>
      </c>
      <c r="E237" s="44">
        <v>222</v>
      </c>
      <c r="F237" s="44">
        <v>165</v>
      </c>
      <c r="G237" s="40">
        <v>-57</v>
      </c>
      <c r="H237" s="44">
        <v>30</v>
      </c>
      <c r="I237" s="44">
        <v>81</v>
      </c>
      <c r="J237" s="44">
        <v>51</v>
      </c>
      <c r="K237" s="40">
        <v>-30</v>
      </c>
    </row>
    <row r="238" spans="1:11" x14ac:dyDescent="0.35">
      <c r="B238" s="54"/>
    </row>
    <row r="239" spans="1:11" ht="18.5" x14ac:dyDescent="0.45">
      <c r="B239" s="53" t="s">
        <v>21</v>
      </c>
    </row>
    <row r="240" spans="1:11" x14ac:dyDescent="0.35">
      <c r="A240" s="1"/>
      <c r="B240" s="1"/>
      <c r="C240" s="1"/>
      <c r="D240" s="31" t="s">
        <v>343</v>
      </c>
      <c r="E240" s="32"/>
      <c r="F240" s="32"/>
      <c r="G240" s="32"/>
      <c r="H240" s="32"/>
      <c r="I240" s="32"/>
      <c r="J240" s="32"/>
      <c r="K240" s="32"/>
    </row>
    <row r="241" spans="1:11" x14ac:dyDescent="0.35">
      <c r="A241" s="1"/>
      <c r="B241" s="1"/>
      <c r="C241" s="1"/>
      <c r="D241" s="23" t="s">
        <v>10</v>
      </c>
      <c r="E241" s="23"/>
      <c r="F241" s="23"/>
      <c r="G241" s="23"/>
      <c r="H241" s="24" t="s">
        <v>11</v>
      </c>
      <c r="I241" s="24"/>
      <c r="J241" s="24"/>
      <c r="K241" s="24"/>
    </row>
    <row r="242" spans="1:11" x14ac:dyDescent="0.35">
      <c r="A242" s="2" t="s">
        <v>5</v>
      </c>
      <c r="B242" s="3" t="s">
        <v>6</v>
      </c>
      <c r="C242" s="3" t="s">
        <v>8</v>
      </c>
      <c r="D242" s="5" t="s">
        <v>346</v>
      </c>
      <c r="E242" s="5" t="s">
        <v>2</v>
      </c>
      <c r="F242" s="5" t="s">
        <v>341</v>
      </c>
      <c r="G242" s="5" t="s">
        <v>347</v>
      </c>
      <c r="H242" s="6" t="s">
        <v>346</v>
      </c>
      <c r="I242" s="6" t="s">
        <v>2</v>
      </c>
      <c r="J242" s="6" t="s">
        <v>341</v>
      </c>
      <c r="K242" s="6" t="s">
        <v>347</v>
      </c>
    </row>
    <row r="243" spans="1:11" x14ac:dyDescent="0.35">
      <c r="A243" s="8">
        <v>1</v>
      </c>
      <c r="B243" s="1" t="s">
        <v>19</v>
      </c>
      <c r="C243" s="1" t="s">
        <v>15</v>
      </c>
      <c r="D243" s="17">
        <v>188</v>
      </c>
      <c r="E243" s="39">
        <v>20</v>
      </c>
      <c r="F243" s="17">
        <v>21</v>
      </c>
      <c r="G243" s="18">
        <v>1</v>
      </c>
      <c r="H243" s="39">
        <v>1</v>
      </c>
      <c r="I243" s="39">
        <v>3</v>
      </c>
      <c r="J243" s="39">
        <v>2</v>
      </c>
      <c r="K243" s="20">
        <v>-1</v>
      </c>
    </row>
    <row r="244" spans="1:11" x14ac:dyDescent="0.35">
      <c r="A244" s="8">
        <v>2</v>
      </c>
      <c r="B244" s="1" t="s">
        <v>22</v>
      </c>
      <c r="C244" s="1" t="s">
        <v>15</v>
      </c>
      <c r="D244" s="17">
        <v>163</v>
      </c>
      <c r="E244" s="39">
        <v>26</v>
      </c>
      <c r="F244" s="17">
        <v>21</v>
      </c>
      <c r="G244" s="40">
        <v>-5</v>
      </c>
      <c r="H244" s="39">
        <v>2</v>
      </c>
      <c r="I244" s="39">
        <v>10</v>
      </c>
      <c r="J244" s="39">
        <v>2</v>
      </c>
      <c r="K244" s="40">
        <v>-8</v>
      </c>
    </row>
    <row r="245" spans="1:11" x14ac:dyDescent="0.35">
      <c r="A245" s="8">
        <v>3</v>
      </c>
      <c r="B245" s="1" t="s">
        <v>265</v>
      </c>
      <c r="C245" s="1" t="s">
        <v>15</v>
      </c>
      <c r="D245" s="17">
        <v>164</v>
      </c>
      <c r="E245" s="17">
        <v>9</v>
      </c>
      <c r="F245" s="17">
        <v>20</v>
      </c>
      <c r="G245" s="18">
        <v>11</v>
      </c>
      <c r="H245" s="39">
        <v>0</v>
      </c>
      <c r="I245" s="39">
        <v>0</v>
      </c>
      <c r="J245" s="39">
        <v>0</v>
      </c>
      <c r="K245" s="20">
        <v>0</v>
      </c>
    </row>
    <row r="246" spans="1:11" x14ac:dyDescent="0.35">
      <c r="D246" s="51">
        <f>SUM(D243:D245)</f>
        <v>515</v>
      </c>
      <c r="E246" s="51">
        <f t="shared" ref="E246:K246" si="13">SUM(E243:E245)</f>
        <v>55</v>
      </c>
      <c r="F246" s="51">
        <f t="shared" si="13"/>
        <v>62</v>
      </c>
      <c r="G246" s="51">
        <f t="shared" si="13"/>
        <v>7</v>
      </c>
      <c r="H246" s="51">
        <f t="shared" si="13"/>
        <v>3</v>
      </c>
      <c r="I246" s="51">
        <f t="shared" si="13"/>
        <v>13</v>
      </c>
      <c r="J246" s="51">
        <f t="shared" si="13"/>
        <v>4</v>
      </c>
      <c r="K246" s="52">
        <f t="shared" si="13"/>
        <v>-9</v>
      </c>
    </row>
    <row r="248" spans="1:11" ht="18.5" x14ac:dyDescent="0.45">
      <c r="B248" s="50" t="s">
        <v>146</v>
      </c>
    </row>
    <row r="249" spans="1:11" x14ac:dyDescent="0.35">
      <c r="A249" s="1"/>
      <c r="B249" s="1"/>
      <c r="C249" s="1"/>
      <c r="D249" s="31" t="s">
        <v>343</v>
      </c>
      <c r="E249" s="32"/>
      <c r="F249" s="32"/>
      <c r="G249" s="32"/>
      <c r="H249" s="32"/>
      <c r="I249" s="32"/>
      <c r="J249" s="32"/>
      <c r="K249" s="32"/>
    </row>
    <row r="250" spans="1:11" x14ac:dyDescent="0.35">
      <c r="A250" s="1"/>
      <c r="B250" s="1"/>
      <c r="C250" s="1"/>
      <c r="D250" s="23" t="s">
        <v>10</v>
      </c>
      <c r="E250" s="23"/>
      <c r="F250" s="23"/>
      <c r="G250" s="23"/>
      <c r="H250" s="24" t="s">
        <v>11</v>
      </c>
      <c r="I250" s="24"/>
      <c r="J250" s="24"/>
      <c r="K250" s="24"/>
    </row>
    <row r="251" spans="1:11" x14ac:dyDescent="0.35">
      <c r="A251" s="2" t="s">
        <v>5</v>
      </c>
      <c r="B251" s="3" t="s">
        <v>6</v>
      </c>
      <c r="C251" s="3" t="s">
        <v>8</v>
      </c>
      <c r="D251" s="5" t="s">
        <v>346</v>
      </c>
      <c r="E251" s="5" t="s">
        <v>2</v>
      </c>
      <c r="F251" s="5" t="s">
        <v>341</v>
      </c>
      <c r="G251" s="5" t="s">
        <v>347</v>
      </c>
      <c r="H251" s="6" t="s">
        <v>346</v>
      </c>
      <c r="I251" s="6" t="s">
        <v>2</v>
      </c>
      <c r="J251" s="6" t="s">
        <v>341</v>
      </c>
      <c r="K251" s="6" t="s">
        <v>347</v>
      </c>
    </row>
    <row r="252" spans="1:11" x14ac:dyDescent="0.35">
      <c r="A252" s="8">
        <v>1</v>
      </c>
      <c r="B252" s="1" t="s">
        <v>144</v>
      </c>
      <c r="C252" s="1" t="s">
        <v>15</v>
      </c>
      <c r="D252" s="17">
        <v>141</v>
      </c>
      <c r="E252" s="17">
        <v>41</v>
      </c>
      <c r="F252" s="17">
        <v>33</v>
      </c>
      <c r="G252" s="40">
        <v>-8</v>
      </c>
      <c r="H252" s="19">
        <v>15</v>
      </c>
      <c r="I252" s="19">
        <v>18</v>
      </c>
      <c r="J252" s="19">
        <v>22</v>
      </c>
      <c r="K252" s="20">
        <v>4</v>
      </c>
    </row>
    <row r="253" spans="1:11" x14ac:dyDescent="0.35">
      <c r="D253" s="43">
        <v>141</v>
      </c>
      <c r="E253" s="43">
        <v>41</v>
      </c>
      <c r="F253" s="43">
        <v>33</v>
      </c>
      <c r="G253" s="40">
        <v>-8</v>
      </c>
      <c r="H253" s="43">
        <v>15</v>
      </c>
      <c r="I253" s="43">
        <v>18</v>
      </c>
      <c r="J253" s="43">
        <v>22</v>
      </c>
      <c r="K253" s="43">
        <v>4</v>
      </c>
    </row>
    <row r="255" spans="1:11" ht="18.5" x14ac:dyDescent="0.45">
      <c r="B255" s="50" t="s">
        <v>93</v>
      </c>
    </row>
    <row r="256" spans="1:11" x14ac:dyDescent="0.35">
      <c r="A256" s="1"/>
      <c r="B256" s="1"/>
      <c r="C256" s="1"/>
      <c r="D256" s="31" t="s">
        <v>343</v>
      </c>
      <c r="E256" s="32"/>
      <c r="F256" s="32"/>
      <c r="G256" s="32"/>
      <c r="H256" s="32"/>
      <c r="I256" s="32"/>
      <c r="J256" s="32"/>
      <c r="K256" s="32"/>
    </row>
    <row r="257" spans="1:11" x14ac:dyDescent="0.35">
      <c r="A257" s="1"/>
      <c r="B257" s="1"/>
      <c r="C257" s="1"/>
      <c r="D257" s="23" t="s">
        <v>10</v>
      </c>
      <c r="E257" s="23"/>
      <c r="F257" s="23"/>
      <c r="G257" s="23"/>
      <c r="H257" s="24" t="s">
        <v>11</v>
      </c>
      <c r="I257" s="24"/>
      <c r="J257" s="24"/>
      <c r="K257" s="24"/>
    </row>
    <row r="258" spans="1:11" x14ac:dyDescent="0.35">
      <c r="A258" s="2" t="s">
        <v>5</v>
      </c>
      <c r="B258" s="3" t="s">
        <v>6</v>
      </c>
      <c r="C258" s="3" t="s">
        <v>8</v>
      </c>
      <c r="D258" s="5" t="s">
        <v>346</v>
      </c>
      <c r="E258" s="5" t="s">
        <v>2</v>
      </c>
      <c r="F258" s="5" t="s">
        <v>341</v>
      </c>
      <c r="G258" s="5" t="s">
        <v>347</v>
      </c>
      <c r="H258" s="6" t="s">
        <v>346</v>
      </c>
      <c r="I258" s="6" t="s">
        <v>2</v>
      </c>
      <c r="J258" s="6" t="s">
        <v>341</v>
      </c>
      <c r="K258" s="6" t="s">
        <v>347</v>
      </c>
    </row>
    <row r="259" spans="1:11" x14ac:dyDescent="0.35">
      <c r="A259" s="8">
        <v>1</v>
      </c>
      <c r="B259" s="1" t="s">
        <v>91</v>
      </c>
      <c r="C259" s="1" t="s">
        <v>15</v>
      </c>
      <c r="D259" s="17">
        <v>138</v>
      </c>
      <c r="E259" s="39">
        <v>38</v>
      </c>
      <c r="F259" s="17">
        <v>25</v>
      </c>
      <c r="G259" s="40">
        <v>-13</v>
      </c>
      <c r="H259" s="19">
        <v>9</v>
      </c>
      <c r="I259" s="39">
        <v>19</v>
      </c>
      <c r="J259" s="19">
        <v>11</v>
      </c>
      <c r="K259" s="40">
        <v>-8</v>
      </c>
    </row>
    <row r="260" spans="1:11" x14ac:dyDescent="0.35">
      <c r="A260" s="8">
        <v>2</v>
      </c>
      <c r="B260" s="1" t="s">
        <v>142</v>
      </c>
      <c r="C260" s="1" t="s">
        <v>61</v>
      </c>
      <c r="D260" s="41">
        <v>822</v>
      </c>
      <c r="E260" s="41">
        <v>237</v>
      </c>
      <c r="F260" s="41">
        <v>145</v>
      </c>
      <c r="G260" s="42">
        <v>-92</v>
      </c>
      <c r="H260" s="41">
        <v>25</v>
      </c>
      <c r="I260" s="41">
        <v>64</v>
      </c>
      <c r="J260" s="41">
        <v>45</v>
      </c>
      <c r="K260" s="42">
        <v>-19</v>
      </c>
    </row>
    <row r="261" spans="1:11" x14ac:dyDescent="0.35">
      <c r="A261" s="8">
        <v>3</v>
      </c>
      <c r="B261" s="1" t="s">
        <v>200</v>
      </c>
      <c r="C261" s="1" t="s">
        <v>15</v>
      </c>
      <c r="D261" s="17">
        <v>107</v>
      </c>
      <c r="E261" s="39">
        <v>47</v>
      </c>
      <c r="F261" s="39">
        <v>9</v>
      </c>
      <c r="G261" s="40">
        <v>-38</v>
      </c>
      <c r="H261" s="39">
        <v>2</v>
      </c>
      <c r="I261" s="39">
        <v>10</v>
      </c>
      <c r="J261" s="39">
        <v>3</v>
      </c>
      <c r="K261" s="40">
        <v>-7</v>
      </c>
    </row>
    <row r="262" spans="1:11" x14ac:dyDescent="0.35">
      <c r="A262" s="8">
        <v>4</v>
      </c>
      <c r="B262" s="1" t="s">
        <v>208</v>
      </c>
      <c r="C262" s="1" t="s">
        <v>15</v>
      </c>
      <c r="D262" s="17">
        <v>149</v>
      </c>
      <c r="E262" s="17">
        <v>21</v>
      </c>
      <c r="F262" s="17">
        <v>18</v>
      </c>
      <c r="G262" s="18">
        <v>-3</v>
      </c>
      <c r="H262" s="39">
        <v>4</v>
      </c>
      <c r="I262" s="19">
        <v>8</v>
      </c>
      <c r="J262" s="39">
        <v>4</v>
      </c>
      <c r="K262" s="40">
        <v>-4</v>
      </c>
    </row>
    <row r="263" spans="1:11" x14ac:dyDescent="0.35">
      <c r="A263" s="8">
        <v>5</v>
      </c>
      <c r="B263" s="1" t="s">
        <v>235</v>
      </c>
      <c r="C263" s="1" t="s">
        <v>15</v>
      </c>
      <c r="D263" s="17">
        <v>135</v>
      </c>
      <c r="E263" s="17">
        <v>28</v>
      </c>
      <c r="F263" s="17">
        <v>30</v>
      </c>
      <c r="G263" s="18">
        <v>2</v>
      </c>
      <c r="H263" s="39">
        <v>2</v>
      </c>
      <c r="I263" s="19">
        <v>4</v>
      </c>
      <c r="J263" s="39">
        <v>4</v>
      </c>
      <c r="K263" s="20">
        <v>0</v>
      </c>
    </row>
    <row r="264" spans="1:11" x14ac:dyDescent="0.35">
      <c r="A264" s="8">
        <v>6</v>
      </c>
      <c r="B264" s="1" t="s">
        <v>239</v>
      </c>
      <c r="C264" s="1" t="s">
        <v>15</v>
      </c>
      <c r="D264" s="17">
        <v>137</v>
      </c>
      <c r="E264" s="17">
        <v>23</v>
      </c>
      <c r="F264" s="17">
        <v>40</v>
      </c>
      <c r="G264" s="18">
        <v>17</v>
      </c>
      <c r="H264" s="39">
        <v>2</v>
      </c>
      <c r="I264" s="19">
        <v>5</v>
      </c>
      <c r="J264" s="19">
        <v>7</v>
      </c>
      <c r="K264" s="20">
        <v>2</v>
      </c>
    </row>
    <row r="265" spans="1:11" x14ac:dyDescent="0.35">
      <c r="A265" s="8">
        <v>7</v>
      </c>
      <c r="B265" s="1" t="s">
        <v>318</v>
      </c>
      <c r="C265" s="1" t="s">
        <v>15</v>
      </c>
      <c r="D265" s="17">
        <v>156</v>
      </c>
      <c r="E265" s="39">
        <v>80</v>
      </c>
      <c r="F265" s="17">
        <v>23</v>
      </c>
      <c r="G265" s="40">
        <v>-57</v>
      </c>
      <c r="H265" s="39">
        <v>6</v>
      </c>
      <c r="I265" s="39">
        <v>18</v>
      </c>
      <c r="J265" s="19">
        <v>16</v>
      </c>
      <c r="K265" s="40">
        <v>-2</v>
      </c>
    </row>
    <row r="266" spans="1:11" x14ac:dyDescent="0.35">
      <c r="D266" s="43">
        <f>SUM(D259:D265)-D260</f>
        <v>822</v>
      </c>
      <c r="E266" s="43">
        <f t="shared" ref="E266:K266" si="14">SUM(E259:E265)-E260</f>
        <v>237</v>
      </c>
      <c r="F266" s="43">
        <f t="shared" si="14"/>
        <v>145</v>
      </c>
      <c r="G266" s="40">
        <f t="shared" si="14"/>
        <v>-92</v>
      </c>
      <c r="H266" s="43">
        <f t="shared" si="14"/>
        <v>25</v>
      </c>
      <c r="I266" s="43">
        <f t="shared" si="14"/>
        <v>64</v>
      </c>
      <c r="J266" s="43">
        <f t="shared" si="14"/>
        <v>45</v>
      </c>
      <c r="K266" s="40">
        <f t="shared" si="14"/>
        <v>-19</v>
      </c>
    </row>
  </sheetData>
  <mergeCells count="57">
    <mergeCell ref="D256:K256"/>
    <mergeCell ref="D257:G257"/>
    <mergeCell ref="H257:K257"/>
    <mergeCell ref="D240:K240"/>
    <mergeCell ref="D241:G241"/>
    <mergeCell ref="H241:K241"/>
    <mergeCell ref="D249:K249"/>
    <mergeCell ref="D250:G250"/>
    <mergeCell ref="H250:K250"/>
    <mergeCell ref="D226:K226"/>
    <mergeCell ref="D227:G227"/>
    <mergeCell ref="H227:K227"/>
    <mergeCell ref="D233:K233"/>
    <mergeCell ref="D234:G234"/>
    <mergeCell ref="H234:K234"/>
    <mergeCell ref="D186:K186"/>
    <mergeCell ref="D187:G187"/>
    <mergeCell ref="H187:K187"/>
    <mergeCell ref="D198:K198"/>
    <mergeCell ref="D199:G199"/>
    <mergeCell ref="H199:K199"/>
    <mergeCell ref="D140:K140"/>
    <mergeCell ref="D141:G141"/>
    <mergeCell ref="H141:K141"/>
    <mergeCell ref="D167:K167"/>
    <mergeCell ref="D168:G168"/>
    <mergeCell ref="H168:K168"/>
    <mergeCell ref="D100:K100"/>
    <mergeCell ref="D101:G101"/>
    <mergeCell ref="H101:K101"/>
    <mergeCell ref="D118:K118"/>
    <mergeCell ref="D119:G119"/>
    <mergeCell ref="H119:K119"/>
    <mergeCell ref="D81:K81"/>
    <mergeCell ref="D82:G82"/>
    <mergeCell ref="H82:K82"/>
    <mergeCell ref="D90:K90"/>
    <mergeCell ref="D91:G91"/>
    <mergeCell ref="H91:K91"/>
    <mergeCell ref="D59:K59"/>
    <mergeCell ref="D60:G60"/>
    <mergeCell ref="H60:K60"/>
    <mergeCell ref="D74:K74"/>
    <mergeCell ref="D75:G75"/>
    <mergeCell ref="H75:K75"/>
    <mergeCell ref="D31:K31"/>
    <mergeCell ref="D32:G32"/>
    <mergeCell ref="H32:K32"/>
    <mergeCell ref="D52:K52"/>
    <mergeCell ref="D53:G53"/>
    <mergeCell ref="H53:K53"/>
    <mergeCell ref="D20:K20"/>
    <mergeCell ref="D21:G21"/>
    <mergeCell ref="H21:K21"/>
    <mergeCell ref="D3:G3"/>
    <mergeCell ref="H3:K3"/>
    <mergeCell ref="D2:K2"/>
  </mergeCells>
  <pageMargins left="0.7" right="0.7" top="0.75" bottom="0.75" header="0.3" footer="0.3"/>
  <ignoredErrors>
    <ignoredError sqref="D195:K195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8C1EB-CA01-4522-A2F3-D83C62276A22}">
  <sheetPr filterMode="1">
    <tabColor theme="5" tint="-0.249977111117893"/>
  </sheetPr>
  <dimension ref="A1:L158"/>
  <sheetViews>
    <sheetView topLeftCell="I1" workbookViewId="0">
      <selection sqref="A1:L146"/>
    </sheetView>
  </sheetViews>
  <sheetFormatPr defaultRowHeight="14.5" x14ac:dyDescent="0.35"/>
  <cols>
    <col min="1" max="1" width="8.7265625" style="16"/>
    <col min="2" max="2" width="33.81640625" bestFit="1" customWidth="1"/>
    <col min="3" max="3" width="7.36328125" bestFit="1" customWidth="1"/>
    <col min="4" max="4" width="60.36328125" bestFit="1" customWidth="1"/>
    <col min="5" max="7" width="11.81640625" style="16" customWidth="1"/>
    <col min="8" max="8" width="21.81640625" style="16" bestFit="1" customWidth="1"/>
    <col min="9" max="11" width="11.81640625" style="16" customWidth="1"/>
    <col min="12" max="12" width="21.81640625" style="16" bestFit="1" customWidth="1"/>
  </cols>
  <sheetData>
    <row r="1" spans="1:12" x14ac:dyDescent="0.35">
      <c r="A1" s="1"/>
      <c r="B1" s="1"/>
      <c r="C1" s="1"/>
      <c r="D1" s="1"/>
      <c r="E1" s="31" t="s">
        <v>343</v>
      </c>
      <c r="F1" s="32"/>
      <c r="G1" s="32"/>
      <c r="H1" s="32"/>
      <c r="I1" s="32"/>
      <c r="J1" s="32"/>
      <c r="K1" s="32"/>
      <c r="L1" s="32"/>
    </row>
    <row r="2" spans="1:12" x14ac:dyDescent="0.35">
      <c r="A2" s="1"/>
      <c r="B2" s="1"/>
      <c r="C2" s="1"/>
      <c r="D2" s="1"/>
      <c r="E2" s="23" t="s">
        <v>10</v>
      </c>
      <c r="F2" s="23"/>
      <c r="G2" s="23"/>
      <c r="H2" s="23"/>
      <c r="I2" s="24" t="s">
        <v>11</v>
      </c>
      <c r="J2" s="24"/>
      <c r="K2" s="24"/>
      <c r="L2" s="24"/>
    </row>
    <row r="3" spans="1:12" x14ac:dyDescent="0.35">
      <c r="A3" s="2" t="s">
        <v>5</v>
      </c>
      <c r="B3" s="3" t="s">
        <v>6</v>
      </c>
      <c r="C3" s="3" t="s">
        <v>8</v>
      </c>
      <c r="D3" s="3" t="s">
        <v>9</v>
      </c>
      <c r="E3" s="5" t="s">
        <v>346</v>
      </c>
      <c r="F3" s="5" t="s">
        <v>2</v>
      </c>
      <c r="G3" s="5" t="s">
        <v>341</v>
      </c>
      <c r="H3" s="5" t="s">
        <v>347</v>
      </c>
      <c r="I3" s="6" t="s">
        <v>346</v>
      </c>
      <c r="J3" s="6" t="s">
        <v>2</v>
      </c>
      <c r="K3" s="6" t="s">
        <v>341</v>
      </c>
      <c r="L3" s="6" t="s">
        <v>347</v>
      </c>
    </row>
    <row r="4" spans="1:12" hidden="1" x14ac:dyDescent="0.35">
      <c r="A4" s="8">
        <v>1</v>
      </c>
      <c r="B4" s="1" t="s">
        <v>13</v>
      </c>
      <c r="C4" s="1" t="s">
        <v>15</v>
      </c>
      <c r="D4" s="1" t="s">
        <v>16</v>
      </c>
      <c r="E4" s="17">
        <v>74</v>
      </c>
      <c r="F4" s="17">
        <v>78</v>
      </c>
      <c r="G4" s="17">
        <v>14</v>
      </c>
      <c r="H4" s="18">
        <f>G4-F4</f>
        <v>-64</v>
      </c>
      <c r="I4" s="19">
        <v>1</v>
      </c>
      <c r="J4" s="19">
        <v>17</v>
      </c>
      <c r="K4" s="19">
        <v>7</v>
      </c>
      <c r="L4" s="20">
        <f>K4-J4</f>
        <v>-10</v>
      </c>
    </row>
    <row r="5" spans="1:12" hidden="1" x14ac:dyDescent="0.35">
      <c r="A5" s="8">
        <v>2</v>
      </c>
      <c r="B5" s="1" t="s">
        <v>17</v>
      </c>
      <c r="C5" s="1" t="s">
        <v>15</v>
      </c>
      <c r="D5" s="1" t="s">
        <v>16</v>
      </c>
      <c r="E5" s="17">
        <v>72</v>
      </c>
      <c r="F5" s="17">
        <v>61</v>
      </c>
      <c r="G5" s="17">
        <v>20</v>
      </c>
      <c r="H5" s="18">
        <f>G5-F5</f>
        <v>-41</v>
      </c>
      <c r="I5" s="19">
        <v>0</v>
      </c>
      <c r="J5" s="19">
        <v>6</v>
      </c>
      <c r="K5" s="19">
        <v>0</v>
      </c>
      <c r="L5" s="20">
        <f t="shared" ref="L5:L68" si="0">K5-J5</f>
        <v>-6</v>
      </c>
    </row>
    <row r="6" spans="1:12" hidden="1" x14ac:dyDescent="0.35">
      <c r="A6" s="8">
        <v>3</v>
      </c>
      <c r="B6" s="1" t="s">
        <v>19</v>
      </c>
      <c r="C6" s="1" t="s">
        <v>15</v>
      </c>
      <c r="D6" s="1" t="s">
        <v>21</v>
      </c>
      <c r="E6" s="17">
        <v>188</v>
      </c>
      <c r="F6" s="17">
        <v>20</v>
      </c>
      <c r="G6" s="17">
        <v>21</v>
      </c>
      <c r="H6" s="18">
        <f>G6-F6</f>
        <v>1</v>
      </c>
      <c r="I6" s="19">
        <v>1</v>
      </c>
      <c r="J6" s="19">
        <v>3</v>
      </c>
      <c r="K6" s="19">
        <v>2</v>
      </c>
      <c r="L6" s="20">
        <f t="shared" si="0"/>
        <v>-1</v>
      </c>
    </row>
    <row r="7" spans="1:12" hidden="1" x14ac:dyDescent="0.35">
      <c r="A7" s="8">
        <v>4</v>
      </c>
      <c r="B7" s="1" t="s">
        <v>22</v>
      </c>
      <c r="C7" s="1" t="s">
        <v>15</v>
      </c>
      <c r="D7" s="1" t="s">
        <v>21</v>
      </c>
      <c r="E7" s="17">
        <v>163</v>
      </c>
      <c r="F7" s="17">
        <v>26</v>
      </c>
      <c r="G7" s="17">
        <v>21</v>
      </c>
      <c r="H7" s="18">
        <f>G7-F7</f>
        <v>-5</v>
      </c>
      <c r="I7" s="19">
        <v>2</v>
      </c>
      <c r="J7" s="19">
        <v>10</v>
      </c>
      <c r="K7" s="19">
        <v>2</v>
      </c>
      <c r="L7" s="20">
        <f t="shared" si="0"/>
        <v>-8</v>
      </c>
    </row>
    <row r="8" spans="1:12" hidden="1" x14ac:dyDescent="0.35">
      <c r="A8" s="8">
        <v>5</v>
      </c>
      <c r="B8" s="1" t="s">
        <v>24</v>
      </c>
      <c r="C8" s="1" t="s">
        <v>15</v>
      </c>
      <c r="D8" s="1" t="s">
        <v>26</v>
      </c>
      <c r="E8" s="17">
        <v>124</v>
      </c>
      <c r="F8" s="17">
        <v>16</v>
      </c>
      <c r="G8" s="17">
        <v>17</v>
      </c>
      <c r="H8" s="18">
        <f>G8-F8</f>
        <v>1</v>
      </c>
      <c r="I8" s="19">
        <v>1</v>
      </c>
      <c r="J8" s="19">
        <v>2</v>
      </c>
      <c r="K8" s="19">
        <v>3</v>
      </c>
      <c r="L8" s="20">
        <f t="shared" si="0"/>
        <v>1</v>
      </c>
    </row>
    <row r="9" spans="1:12" hidden="1" x14ac:dyDescent="0.35">
      <c r="A9" s="8">
        <v>6</v>
      </c>
      <c r="B9" s="1" t="s">
        <v>27</v>
      </c>
      <c r="C9" s="1" t="s">
        <v>15</v>
      </c>
      <c r="D9" s="1" t="s">
        <v>29</v>
      </c>
      <c r="E9" s="17">
        <v>102</v>
      </c>
      <c r="F9" s="17">
        <v>17</v>
      </c>
      <c r="G9" s="17">
        <v>29</v>
      </c>
      <c r="H9" s="18">
        <f>G9-F9</f>
        <v>12</v>
      </c>
      <c r="I9" s="19">
        <v>7</v>
      </c>
      <c r="J9" s="19">
        <v>3</v>
      </c>
      <c r="K9" s="19">
        <v>9</v>
      </c>
      <c r="L9" s="20">
        <f t="shared" si="0"/>
        <v>6</v>
      </c>
    </row>
    <row r="10" spans="1:12" hidden="1" x14ac:dyDescent="0.35">
      <c r="A10" s="8">
        <v>7</v>
      </c>
      <c r="B10" s="1" t="s">
        <v>30</v>
      </c>
      <c r="C10" s="1" t="s">
        <v>15</v>
      </c>
      <c r="D10" s="1" t="s">
        <v>16</v>
      </c>
      <c r="E10" s="17">
        <v>103</v>
      </c>
      <c r="F10" s="17">
        <v>21</v>
      </c>
      <c r="G10" s="17">
        <v>20</v>
      </c>
      <c r="H10" s="18">
        <f>G10-F10</f>
        <v>-1</v>
      </c>
      <c r="I10" s="19">
        <v>17</v>
      </c>
      <c r="J10" s="19">
        <v>4</v>
      </c>
      <c r="K10" s="19">
        <v>36</v>
      </c>
      <c r="L10" s="20">
        <f t="shared" si="0"/>
        <v>32</v>
      </c>
    </row>
    <row r="11" spans="1:12" hidden="1" x14ac:dyDescent="0.35">
      <c r="A11" s="8">
        <v>8</v>
      </c>
      <c r="B11" s="1" t="s">
        <v>32</v>
      </c>
      <c r="C11" s="1" t="s">
        <v>15</v>
      </c>
      <c r="D11" s="1" t="s">
        <v>34</v>
      </c>
      <c r="E11" s="17">
        <v>125</v>
      </c>
      <c r="F11" s="17">
        <v>11</v>
      </c>
      <c r="G11" s="17">
        <v>13</v>
      </c>
      <c r="H11" s="18">
        <f>G11-F11</f>
        <v>2</v>
      </c>
      <c r="I11" s="19">
        <v>2</v>
      </c>
      <c r="J11" s="19">
        <v>2</v>
      </c>
      <c r="K11" s="19">
        <v>3</v>
      </c>
      <c r="L11" s="20">
        <f t="shared" si="0"/>
        <v>1</v>
      </c>
    </row>
    <row r="12" spans="1:12" hidden="1" x14ac:dyDescent="0.35">
      <c r="A12" s="8">
        <v>9</v>
      </c>
      <c r="B12" s="1" t="s">
        <v>35</v>
      </c>
      <c r="C12" s="1" t="s">
        <v>15</v>
      </c>
      <c r="D12" s="1" t="s">
        <v>37</v>
      </c>
      <c r="E12" s="17">
        <v>128</v>
      </c>
      <c r="F12" s="17">
        <v>30</v>
      </c>
      <c r="G12" s="17">
        <v>26</v>
      </c>
      <c r="H12" s="18">
        <f>G12-F12</f>
        <v>-4</v>
      </c>
      <c r="I12" s="19">
        <v>9</v>
      </c>
      <c r="J12" s="19">
        <v>21</v>
      </c>
      <c r="K12" s="19">
        <v>17</v>
      </c>
      <c r="L12" s="20">
        <f t="shared" si="0"/>
        <v>-4</v>
      </c>
    </row>
    <row r="13" spans="1:12" hidden="1" x14ac:dyDescent="0.35">
      <c r="A13" s="8">
        <v>10</v>
      </c>
      <c r="B13" s="1" t="s">
        <v>38</v>
      </c>
      <c r="C13" s="1" t="s">
        <v>15</v>
      </c>
      <c r="D13" s="1" t="s">
        <v>34</v>
      </c>
      <c r="E13" s="17">
        <v>159</v>
      </c>
      <c r="F13" s="17">
        <v>36</v>
      </c>
      <c r="G13" s="17">
        <v>64</v>
      </c>
      <c r="H13" s="18">
        <f>G13-F13</f>
        <v>28</v>
      </c>
      <c r="I13" s="19">
        <v>0</v>
      </c>
      <c r="J13" s="19">
        <v>1</v>
      </c>
      <c r="K13" s="19">
        <v>10</v>
      </c>
      <c r="L13" s="20">
        <f t="shared" si="0"/>
        <v>9</v>
      </c>
    </row>
    <row r="14" spans="1:12" hidden="1" x14ac:dyDescent="0.35">
      <c r="A14" s="8">
        <v>11</v>
      </c>
      <c r="B14" s="1" t="s">
        <v>40</v>
      </c>
      <c r="C14" s="1" t="s">
        <v>15</v>
      </c>
      <c r="D14" s="1" t="s">
        <v>37</v>
      </c>
      <c r="E14" s="17">
        <v>114</v>
      </c>
      <c r="F14" s="17">
        <v>24</v>
      </c>
      <c r="G14" s="17">
        <v>24</v>
      </c>
      <c r="H14" s="18">
        <f>G14-F14</f>
        <v>0</v>
      </c>
      <c r="I14" s="19">
        <v>4</v>
      </c>
      <c r="J14" s="19">
        <v>21</v>
      </c>
      <c r="K14" s="19">
        <v>5</v>
      </c>
      <c r="L14" s="20">
        <f t="shared" si="0"/>
        <v>-16</v>
      </c>
    </row>
    <row r="15" spans="1:12" hidden="1" x14ac:dyDescent="0.35">
      <c r="A15" s="8">
        <v>12</v>
      </c>
      <c r="B15" s="1" t="s">
        <v>42</v>
      </c>
      <c r="C15" s="1" t="s">
        <v>15</v>
      </c>
      <c r="D15" s="1" t="s">
        <v>34</v>
      </c>
      <c r="E15" s="17">
        <v>126</v>
      </c>
      <c r="F15" s="17">
        <v>13</v>
      </c>
      <c r="G15" s="17">
        <v>18</v>
      </c>
      <c r="H15" s="18">
        <f>G15-F15</f>
        <v>5</v>
      </c>
      <c r="I15" s="19">
        <v>4</v>
      </c>
      <c r="J15" s="19">
        <v>5</v>
      </c>
      <c r="K15" s="19">
        <v>4</v>
      </c>
      <c r="L15" s="20">
        <f t="shared" si="0"/>
        <v>-1</v>
      </c>
    </row>
    <row r="16" spans="1:12" hidden="1" x14ac:dyDescent="0.35">
      <c r="A16" s="8">
        <v>13</v>
      </c>
      <c r="B16" s="1" t="s">
        <v>44</v>
      </c>
      <c r="C16" s="1" t="s">
        <v>15</v>
      </c>
      <c r="D16" s="1" t="s">
        <v>29</v>
      </c>
      <c r="E16" s="17">
        <v>87</v>
      </c>
      <c r="F16" s="17">
        <v>70</v>
      </c>
      <c r="G16" s="17">
        <v>12</v>
      </c>
      <c r="H16" s="18">
        <f>G16-F16</f>
        <v>-58</v>
      </c>
      <c r="I16" s="19">
        <v>3</v>
      </c>
      <c r="J16" s="19">
        <v>7</v>
      </c>
      <c r="K16" s="19">
        <v>3</v>
      </c>
      <c r="L16" s="20">
        <f t="shared" si="0"/>
        <v>-4</v>
      </c>
    </row>
    <row r="17" spans="1:12" hidden="1" x14ac:dyDescent="0.35">
      <c r="A17" s="8">
        <v>14</v>
      </c>
      <c r="B17" s="1" t="s">
        <v>46</v>
      </c>
      <c r="C17" s="1" t="s">
        <v>15</v>
      </c>
      <c r="D17" s="1" t="s">
        <v>48</v>
      </c>
      <c r="E17" s="17">
        <v>143</v>
      </c>
      <c r="F17" s="17">
        <v>69</v>
      </c>
      <c r="G17" s="17">
        <v>46</v>
      </c>
      <c r="H17" s="18">
        <f>G17-F17</f>
        <v>-23</v>
      </c>
      <c r="I17" s="19">
        <v>9</v>
      </c>
      <c r="J17" s="19">
        <v>14</v>
      </c>
      <c r="K17" s="19">
        <v>16</v>
      </c>
      <c r="L17" s="20">
        <f t="shared" si="0"/>
        <v>2</v>
      </c>
    </row>
    <row r="18" spans="1:12" hidden="1" x14ac:dyDescent="0.35">
      <c r="A18" s="8">
        <v>15</v>
      </c>
      <c r="B18" s="1" t="s">
        <v>49</v>
      </c>
      <c r="C18" s="1" t="s">
        <v>15</v>
      </c>
      <c r="D18" s="1" t="s">
        <v>51</v>
      </c>
      <c r="E18" s="17">
        <v>189</v>
      </c>
      <c r="F18" s="17">
        <v>64</v>
      </c>
      <c r="G18" s="17">
        <v>4</v>
      </c>
      <c r="H18" s="18">
        <f>G18-F18</f>
        <v>-60</v>
      </c>
      <c r="I18" s="19">
        <v>0</v>
      </c>
      <c r="J18" s="19">
        <v>11</v>
      </c>
      <c r="K18" s="19">
        <v>6</v>
      </c>
      <c r="L18" s="20">
        <f t="shared" si="0"/>
        <v>-5</v>
      </c>
    </row>
    <row r="19" spans="1:12" hidden="1" x14ac:dyDescent="0.35">
      <c r="A19" s="8">
        <v>16</v>
      </c>
      <c r="B19" s="1" t="s">
        <v>52</v>
      </c>
      <c r="C19" s="1" t="s">
        <v>15</v>
      </c>
      <c r="D19" s="1" t="s">
        <v>48</v>
      </c>
      <c r="E19" s="17">
        <v>134</v>
      </c>
      <c r="F19" s="17">
        <v>50</v>
      </c>
      <c r="G19" s="17">
        <v>18</v>
      </c>
      <c r="H19" s="18">
        <f>G19-F19</f>
        <v>-32</v>
      </c>
      <c r="I19" s="19">
        <v>0</v>
      </c>
      <c r="J19" s="19">
        <v>4</v>
      </c>
      <c r="K19" s="19">
        <v>1</v>
      </c>
      <c r="L19" s="20">
        <f t="shared" si="0"/>
        <v>-3</v>
      </c>
    </row>
    <row r="20" spans="1:12" hidden="1" x14ac:dyDescent="0.35">
      <c r="A20" s="8">
        <v>17</v>
      </c>
      <c r="B20" s="1" t="s">
        <v>54</v>
      </c>
      <c r="C20" s="1" t="s">
        <v>15</v>
      </c>
      <c r="D20" s="1" t="s">
        <v>37</v>
      </c>
      <c r="E20" s="17">
        <v>193</v>
      </c>
      <c r="F20" s="17">
        <v>25</v>
      </c>
      <c r="G20" s="17">
        <v>54</v>
      </c>
      <c r="H20" s="18">
        <f>G20-F20</f>
        <v>29</v>
      </c>
      <c r="I20" s="19">
        <v>7</v>
      </c>
      <c r="J20" s="19">
        <v>10</v>
      </c>
      <c r="K20" s="19">
        <v>8</v>
      </c>
      <c r="L20" s="20">
        <f t="shared" si="0"/>
        <v>-2</v>
      </c>
    </row>
    <row r="21" spans="1:12" hidden="1" x14ac:dyDescent="0.35">
      <c r="A21" s="8">
        <v>18</v>
      </c>
      <c r="B21" s="1" t="s">
        <v>56</v>
      </c>
      <c r="C21" s="1" t="s">
        <v>15</v>
      </c>
      <c r="D21" s="1" t="s">
        <v>58</v>
      </c>
      <c r="E21" s="17">
        <v>189</v>
      </c>
      <c r="F21" s="17">
        <v>35</v>
      </c>
      <c r="G21" s="17">
        <v>1</v>
      </c>
      <c r="H21" s="18">
        <f>G21-F21</f>
        <v>-34</v>
      </c>
      <c r="I21" s="19">
        <v>20</v>
      </c>
      <c r="J21" s="19">
        <v>10</v>
      </c>
      <c r="K21" s="19">
        <v>20</v>
      </c>
      <c r="L21" s="20">
        <f t="shared" si="0"/>
        <v>10</v>
      </c>
    </row>
    <row r="22" spans="1:12" hidden="1" x14ac:dyDescent="0.35">
      <c r="A22" s="8">
        <v>19</v>
      </c>
      <c r="B22" s="1" t="s">
        <v>59</v>
      </c>
      <c r="C22" s="1" t="s">
        <v>61</v>
      </c>
      <c r="D22" s="1" t="s">
        <v>34</v>
      </c>
      <c r="E22" s="17">
        <v>612</v>
      </c>
      <c r="F22" s="17">
        <v>68</v>
      </c>
      <c r="G22" s="17">
        <v>101</v>
      </c>
      <c r="H22" s="18">
        <f>G22-F22</f>
        <v>33</v>
      </c>
      <c r="I22" s="19">
        <v>17</v>
      </c>
      <c r="J22" s="19">
        <v>33</v>
      </c>
      <c r="K22" s="19">
        <v>24</v>
      </c>
      <c r="L22" s="20">
        <f t="shared" si="0"/>
        <v>-9</v>
      </c>
    </row>
    <row r="23" spans="1:12" hidden="1" x14ac:dyDescent="0.35">
      <c r="A23" s="8">
        <v>20</v>
      </c>
      <c r="B23" s="1" t="s">
        <v>62</v>
      </c>
      <c r="C23" s="1" t="s">
        <v>15</v>
      </c>
      <c r="D23" s="1" t="s">
        <v>16</v>
      </c>
      <c r="E23" s="17">
        <v>97</v>
      </c>
      <c r="F23" s="17">
        <v>55</v>
      </c>
      <c r="G23" s="17">
        <v>5</v>
      </c>
      <c r="H23" s="18">
        <f>G23-F23</f>
        <v>-50</v>
      </c>
      <c r="I23" s="19">
        <v>4</v>
      </c>
      <c r="J23" s="19">
        <v>20</v>
      </c>
      <c r="K23" s="19">
        <v>6</v>
      </c>
      <c r="L23" s="20">
        <f t="shared" si="0"/>
        <v>-14</v>
      </c>
    </row>
    <row r="24" spans="1:12" hidden="1" x14ac:dyDescent="0.35">
      <c r="A24" s="8">
        <v>21</v>
      </c>
      <c r="B24" s="1" t="s">
        <v>64</v>
      </c>
      <c r="C24" s="1" t="s">
        <v>15</v>
      </c>
      <c r="D24" s="1" t="s">
        <v>51</v>
      </c>
      <c r="E24" s="17">
        <v>109</v>
      </c>
      <c r="F24" s="17">
        <v>76</v>
      </c>
      <c r="G24" s="17">
        <v>23</v>
      </c>
      <c r="H24" s="18">
        <f>G24-F24</f>
        <v>-53</v>
      </c>
      <c r="I24" s="19">
        <v>1</v>
      </c>
      <c r="J24" s="19">
        <v>6</v>
      </c>
      <c r="K24" s="19">
        <v>7</v>
      </c>
      <c r="L24" s="20">
        <f t="shared" si="0"/>
        <v>1</v>
      </c>
    </row>
    <row r="25" spans="1:12" hidden="1" x14ac:dyDescent="0.35">
      <c r="A25" s="8">
        <v>22</v>
      </c>
      <c r="B25" s="1" t="s">
        <v>66</v>
      </c>
      <c r="C25" s="1" t="s">
        <v>15</v>
      </c>
      <c r="D25" s="1" t="s">
        <v>68</v>
      </c>
      <c r="E25" s="17">
        <v>139</v>
      </c>
      <c r="F25" s="17">
        <v>21</v>
      </c>
      <c r="G25" s="17">
        <v>22</v>
      </c>
      <c r="H25" s="18">
        <f>G25-F25</f>
        <v>1</v>
      </c>
      <c r="I25" s="19">
        <v>1</v>
      </c>
      <c r="J25" s="19">
        <v>30</v>
      </c>
      <c r="K25" s="19">
        <v>6</v>
      </c>
      <c r="L25" s="20">
        <f t="shared" si="0"/>
        <v>-24</v>
      </c>
    </row>
    <row r="26" spans="1:12" hidden="1" x14ac:dyDescent="0.35">
      <c r="A26" s="8">
        <v>23</v>
      </c>
      <c r="B26" s="1" t="s">
        <v>69</v>
      </c>
      <c r="C26" s="1" t="s">
        <v>61</v>
      </c>
      <c r="D26" s="1" t="s">
        <v>51</v>
      </c>
      <c r="E26" s="17">
        <v>965</v>
      </c>
      <c r="F26" s="17">
        <v>280</v>
      </c>
      <c r="G26" s="17">
        <v>180</v>
      </c>
      <c r="H26" s="18">
        <f>G26-F26</f>
        <v>-100</v>
      </c>
      <c r="I26" s="19">
        <v>29</v>
      </c>
      <c r="J26" s="19">
        <v>79</v>
      </c>
      <c r="K26" s="19">
        <v>85</v>
      </c>
      <c r="L26" s="20">
        <f t="shared" si="0"/>
        <v>6</v>
      </c>
    </row>
    <row r="27" spans="1:12" hidden="1" x14ac:dyDescent="0.35">
      <c r="A27" s="8">
        <v>24</v>
      </c>
      <c r="B27" s="1" t="s">
        <v>71</v>
      </c>
      <c r="C27" s="1" t="s">
        <v>15</v>
      </c>
      <c r="D27" s="1" t="s">
        <v>51</v>
      </c>
      <c r="E27" s="17">
        <v>165</v>
      </c>
      <c r="F27" s="17">
        <v>28</v>
      </c>
      <c r="G27" s="17">
        <v>51</v>
      </c>
      <c r="H27" s="18">
        <f>G27-F27</f>
        <v>23</v>
      </c>
      <c r="I27" s="19">
        <v>5</v>
      </c>
      <c r="J27" s="19">
        <v>12</v>
      </c>
      <c r="K27" s="19">
        <v>12</v>
      </c>
      <c r="L27" s="20">
        <f t="shared" si="0"/>
        <v>0</v>
      </c>
    </row>
    <row r="28" spans="1:12" hidden="1" x14ac:dyDescent="0.35">
      <c r="A28" s="8">
        <v>25</v>
      </c>
      <c r="B28" s="1" t="s">
        <v>73</v>
      </c>
      <c r="C28" s="1" t="s">
        <v>15</v>
      </c>
      <c r="D28" s="1" t="s">
        <v>48</v>
      </c>
      <c r="E28" s="17">
        <v>74</v>
      </c>
      <c r="F28" s="17">
        <v>36</v>
      </c>
      <c r="G28" s="17">
        <v>5</v>
      </c>
      <c r="H28" s="18">
        <f>G28-F28</f>
        <v>-31</v>
      </c>
      <c r="I28" s="19">
        <v>1</v>
      </c>
      <c r="J28" s="19">
        <v>3</v>
      </c>
      <c r="K28" s="19">
        <v>1</v>
      </c>
      <c r="L28" s="20">
        <f t="shared" si="0"/>
        <v>-2</v>
      </c>
    </row>
    <row r="29" spans="1:12" hidden="1" x14ac:dyDescent="0.35">
      <c r="A29" s="8">
        <v>26</v>
      </c>
      <c r="B29" s="1" t="s">
        <v>75</v>
      </c>
      <c r="C29" s="1" t="s">
        <v>15</v>
      </c>
      <c r="D29" s="1" t="s">
        <v>68</v>
      </c>
      <c r="E29" s="17">
        <v>147</v>
      </c>
      <c r="F29" s="17">
        <v>40</v>
      </c>
      <c r="G29" s="17">
        <v>29</v>
      </c>
      <c r="H29" s="18">
        <f>G29-F29</f>
        <v>-11</v>
      </c>
      <c r="I29" s="19">
        <v>4</v>
      </c>
      <c r="J29" s="19">
        <v>24</v>
      </c>
      <c r="K29" s="19">
        <v>8</v>
      </c>
      <c r="L29" s="20">
        <f t="shared" si="0"/>
        <v>-16</v>
      </c>
    </row>
    <row r="30" spans="1:12" hidden="1" x14ac:dyDescent="0.35">
      <c r="A30" s="8">
        <v>27</v>
      </c>
      <c r="B30" s="1" t="s">
        <v>77</v>
      </c>
      <c r="C30" s="1" t="s">
        <v>15</v>
      </c>
      <c r="D30" s="1" t="s">
        <v>16</v>
      </c>
      <c r="E30" s="17">
        <v>93</v>
      </c>
      <c r="F30" s="17">
        <v>75</v>
      </c>
      <c r="G30" s="17">
        <v>37</v>
      </c>
      <c r="H30" s="18">
        <f>G30-F30</f>
        <v>-38</v>
      </c>
      <c r="I30" s="19">
        <v>3</v>
      </c>
      <c r="J30" s="19">
        <v>8</v>
      </c>
      <c r="K30" s="19">
        <v>3</v>
      </c>
      <c r="L30" s="20">
        <f t="shared" si="0"/>
        <v>-5</v>
      </c>
    </row>
    <row r="31" spans="1:12" hidden="1" x14ac:dyDescent="0.35">
      <c r="A31" s="8">
        <v>28</v>
      </c>
      <c r="B31" s="1" t="s">
        <v>79</v>
      </c>
      <c r="C31" s="1" t="s">
        <v>15</v>
      </c>
      <c r="D31" s="1" t="s">
        <v>37</v>
      </c>
      <c r="E31" s="17">
        <v>114</v>
      </c>
      <c r="F31" s="17">
        <v>20</v>
      </c>
      <c r="G31" s="17">
        <v>35</v>
      </c>
      <c r="H31" s="18">
        <f>G31-F31</f>
        <v>15</v>
      </c>
      <c r="I31" s="19">
        <v>1</v>
      </c>
      <c r="J31" s="19">
        <v>10</v>
      </c>
      <c r="K31" s="19">
        <v>3</v>
      </c>
      <c r="L31" s="20">
        <f t="shared" si="0"/>
        <v>-7</v>
      </c>
    </row>
    <row r="32" spans="1:12" hidden="1" x14ac:dyDescent="0.35">
      <c r="A32" s="8">
        <v>29</v>
      </c>
      <c r="B32" s="1" t="s">
        <v>81</v>
      </c>
      <c r="C32" s="1" t="s">
        <v>15</v>
      </c>
      <c r="D32" s="1" t="s">
        <v>34</v>
      </c>
      <c r="E32" s="17">
        <v>112</v>
      </c>
      <c r="F32" s="17">
        <v>30</v>
      </c>
      <c r="G32" s="17">
        <v>29</v>
      </c>
      <c r="H32" s="18">
        <f>G32-F32</f>
        <v>-1</v>
      </c>
      <c r="I32" s="19">
        <v>1</v>
      </c>
      <c r="J32" s="19">
        <v>10</v>
      </c>
      <c r="K32" s="19">
        <v>6</v>
      </c>
      <c r="L32" s="20">
        <f t="shared" si="0"/>
        <v>-4</v>
      </c>
    </row>
    <row r="33" spans="1:12" hidden="1" x14ac:dyDescent="0.35">
      <c r="A33" s="8">
        <v>30</v>
      </c>
      <c r="B33" s="1" t="s">
        <v>83</v>
      </c>
      <c r="C33" s="1" t="s">
        <v>61</v>
      </c>
      <c r="D33" s="1" t="s">
        <v>85</v>
      </c>
      <c r="E33" s="17">
        <v>780</v>
      </c>
      <c r="F33" s="17">
        <v>222</v>
      </c>
      <c r="G33" s="17">
        <v>165</v>
      </c>
      <c r="H33" s="18">
        <f>G33-F33</f>
        <v>-57</v>
      </c>
      <c r="I33" s="19">
        <v>30</v>
      </c>
      <c r="J33" s="19">
        <v>81</v>
      </c>
      <c r="K33" s="19">
        <v>51</v>
      </c>
      <c r="L33" s="20">
        <f t="shared" si="0"/>
        <v>-30</v>
      </c>
    </row>
    <row r="34" spans="1:12" hidden="1" x14ac:dyDescent="0.35">
      <c r="A34" s="8">
        <v>31</v>
      </c>
      <c r="B34" s="1" t="s">
        <v>86</v>
      </c>
      <c r="C34" s="1" t="s">
        <v>15</v>
      </c>
      <c r="D34" s="1" t="s">
        <v>88</v>
      </c>
      <c r="E34" s="17">
        <v>49</v>
      </c>
      <c r="F34" s="17">
        <v>31</v>
      </c>
      <c r="G34" s="17">
        <v>5</v>
      </c>
      <c r="H34" s="18">
        <f>G34-F34</f>
        <v>-26</v>
      </c>
      <c r="I34" s="19">
        <v>0</v>
      </c>
      <c r="J34" s="19">
        <v>0</v>
      </c>
      <c r="K34" s="19">
        <v>0</v>
      </c>
      <c r="L34" s="20">
        <f t="shared" si="0"/>
        <v>0</v>
      </c>
    </row>
    <row r="35" spans="1:12" hidden="1" x14ac:dyDescent="0.35">
      <c r="A35" s="8">
        <v>32</v>
      </c>
      <c r="B35" s="1" t="s">
        <v>89</v>
      </c>
      <c r="C35" s="1" t="s">
        <v>15</v>
      </c>
      <c r="D35" s="1" t="s">
        <v>16</v>
      </c>
      <c r="E35" s="17">
        <v>136</v>
      </c>
      <c r="F35" s="17">
        <v>42</v>
      </c>
      <c r="G35" s="17">
        <v>36</v>
      </c>
      <c r="H35" s="18">
        <f>G35-F35</f>
        <v>-6</v>
      </c>
      <c r="I35" s="19">
        <v>1</v>
      </c>
      <c r="J35" s="19">
        <v>1</v>
      </c>
      <c r="K35" s="19">
        <v>7</v>
      </c>
      <c r="L35" s="20">
        <f t="shared" si="0"/>
        <v>6</v>
      </c>
    </row>
    <row r="36" spans="1:12" x14ac:dyDescent="0.35">
      <c r="A36" s="8">
        <v>33</v>
      </c>
      <c r="B36" s="1" t="s">
        <v>91</v>
      </c>
      <c r="C36" s="1" t="s">
        <v>15</v>
      </c>
      <c r="D36" s="1" t="s">
        <v>93</v>
      </c>
      <c r="E36" s="17">
        <v>138</v>
      </c>
      <c r="F36" s="17">
        <v>38</v>
      </c>
      <c r="G36" s="17">
        <v>25</v>
      </c>
      <c r="H36" s="18">
        <f>G36-F36</f>
        <v>-13</v>
      </c>
      <c r="I36" s="19">
        <v>9</v>
      </c>
      <c r="J36" s="19">
        <v>19</v>
      </c>
      <c r="K36" s="19">
        <v>11</v>
      </c>
      <c r="L36" s="20">
        <f t="shared" si="0"/>
        <v>-8</v>
      </c>
    </row>
    <row r="37" spans="1:12" hidden="1" x14ac:dyDescent="0.35">
      <c r="A37" s="8">
        <v>34</v>
      </c>
      <c r="B37" s="1" t="s">
        <v>94</v>
      </c>
      <c r="C37" s="1" t="s">
        <v>15</v>
      </c>
      <c r="D37" s="1" t="s">
        <v>96</v>
      </c>
      <c r="E37" s="17">
        <v>89</v>
      </c>
      <c r="F37" s="17">
        <v>25</v>
      </c>
      <c r="G37" s="17">
        <v>20</v>
      </c>
      <c r="H37" s="18">
        <f>G37-F37</f>
        <v>-5</v>
      </c>
      <c r="I37" s="19">
        <v>1</v>
      </c>
      <c r="J37" s="19">
        <v>12</v>
      </c>
      <c r="K37" s="19">
        <v>7</v>
      </c>
      <c r="L37" s="20">
        <f t="shared" si="0"/>
        <v>-5</v>
      </c>
    </row>
    <row r="38" spans="1:12" hidden="1" x14ac:dyDescent="0.35">
      <c r="A38" s="8">
        <v>35</v>
      </c>
      <c r="B38" s="1" t="s">
        <v>97</v>
      </c>
      <c r="C38" s="1" t="s">
        <v>15</v>
      </c>
      <c r="D38" s="1" t="s">
        <v>16</v>
      </c>
      <c r="E38" s="17">
        <v>94</v>
      </c>
      <c r="F38" s="17">
        <v>49</v>
      </c>
      <c r="G38" s="17">
        <v>37</v>
      </c>
      <c r="H38" s="18">
        <f>G38-F38</f>
        <v>-12</v>
      </c>
      <c r="I38" s="19">
        <v>7</v>
      </c>
      <c r="J38" s="19">
        <v>18</v>
      </c>
      <c r="K38" s="19">
        <v>24</v>
      </c>
      <c r="L38" s="20">
        <f t="shared" si="0"/>
        <v>6</v>
      </c>
    </row>
    <row r="39" spans="1:12" hidden="1" x14ac:dyDescent="0.35">
      <c r="A39" s="8">
        <v>36</v>
      </c>
      <c r="B39" s="1" t="s">
        <v>99</v>
      </c>
      <c r="C39" s="1" t="s">
        <v>15</v>
      </c>
      <c r="D39" s="1" t="s">
        <v>101</v>
      </c>
      <c r="E39" s="17">
        <v>181</v>
      </c>
      <c r="F39" s="17">
        <v>47</v>
      </c>
      <c r="G39" s="17">
        <v>10</v>
      </c>
      <c r="H39" s="18">
        <f>G39-F39</f>
        <v>-37</v>
      </c>
      <c r="I39" s="19">
        <v>8</v>
      </c>
      <c r="J39" s="19">
        <v>15</v>
      </c>
      <c r="K39" s="19">
        <v>9</v>
      </c>
      <c r="L39" s="20">
        <f t="shared" si="0"/>
        <v>-6</v>
      </c>
    </row>
    <row r="40" spans="1:12" hidden="1" x14ac:dyDescent="0.35">
      <c r="A40" s="8">
        <v>37</v>
      </c>
      <c r="B40" s="1" t="s">
        <v>102</v>
      </c>
      <c r="C40" s="1" t="s">
        <v>15</v>
      </c>
      <c r="D40" s="1" t="s">
        <v>101</v>
      </c>
      <c r="E40" s="17">
        <v>142</v>
      </c>
      <c r="F40" s="17">
        <v>41</v>
      </c>
      <c r="G40" s="17">
        <v>7</v>
      </c>
      <c r="H40" s="18">
        <f>G40-F40</f>
        <v>-34</v>
      </c>
      <c r="I40" s="19">
        <v>4</v>
      </c>
      <c r="J40" s="19">
        <v>15</v>
      </c>
      <c r="K40" s="19">
        <v>6</v>
      </c>
      <c r="L40" s="20">
        <f t="shared" si="0"/>
        <v>-9</v>
      </c>
    </row>
    <row r="41" spans="1:12" hidden="1" x14ac:dyDescent="0.35">
      <c r="A41" s="8">
        <v>38</v>
      </c>
      <c r="B41" s="1" t="s">
        <v>104</v>
      </c>
      <c r="C41" s="1" t="s">
        <v>15</v>
      </c>
      <c r="D41" s="1" t="s">
        <v>37</v>
      </c>
      <c r="E41" s="17">
        <v>161</v>
      </c>
      <c r="F41" s="17">
        <v>28</v>
      </c>
      <c r="G41" s="17">
        <v>21</v>
      </c>
      <c r="H41" s="18">
        <f>G41-F41</f>
        <v>-7</v>
      </c>
      <c r="I41" s="19">
        <v>3</v>
      </c>
      <c r="J41" s="19">
        <v>4</v>
      </c>
      <c r="K41" s="19">
        <v>4</v>
      </c>
      <c r="L41" s="20">
        <f t="shared" si="0"/>
        <v>0</v>
      </c>
    </row>
    <row r="42" spans="1:12" hidden="1" x14ac:dyDescent="0.35">
      <c r="A42" s="8">
        <v>39</v>
      </c>
      <c r="B42" s="1" t="s">
        <v>106</v>
      </c>
      <c r="C42" s="1" t="s">
        <v>61</v>
      </c>
      <c r="D42" s="1" t="s">
        <v>16</v>
      </c>
      <c r="E42" s="17">
        <v>716</v>
      </c>
      <c r="F42" s="17">
        <v>241</v>
      </c>
      <c r="G42" s="17">
        <v>166</v>
      </c>
      <c r="H42" s="18">
        <f>G42-F42</f>
        <v>-75</v>
      </c>
      <c r="I42" s="19">
        <v>32</v>
      </c>
      <c r="J42" s="19">
        <v>52</v>
      </c>
      <c r="K42" s="19">
        <v>60</v>
      </c>
      <c r="L42" s="20">
        <f t="shared" si="0"/>
        <v>8</v>
      </c>
    </row>
    <row r="43" spans="1:12" hidden="1" x14ac:dyDescent="0.35">
      <c r="A43" s="8">
        <v>40</v>
      </c>
      <c r="B43" s="1" t="s">
        <v>108</v>
      </c>
      <c r="C43" s="1" t="s">
        <v>15</v>
      </c>
      <c r="D43" s="1" t="s">
        <v>48</v>
      </c>
      <c r="E43" s="17">
        <v>90</v>
      </c>
      <c r="F43" s="17">
        <v>82</v>
      </c>
      <c r="G43" s="17">
        <v>27</v>
      </c>
      <c r="H43" s="18">
        <f>G43-F43</f>
        <v>-55</v>
      </c>
      <c r="I43" s="19">
        <v>4</v>
      </c>
      <c r="J43" s="19">
        <v>29</v>
      </c>
      <c r="K43" s="19">
        <v>7</v>
      </c>
      <c r="L43" s="20">
        <f t="shared" si="0"/>
        <v>-22</v>
      </c>
    </row>
    <row r="44" spans="1:12" hidden="1" x14ac:dyDescent="0.35">
      <c r="A44" s="8">
        <v>41</v>
      </c>
      <c r="B44" s="1" t="s">
        <v>110</v>
      </c>
      <c r="C44" s="1" t="s">
        <v>15</v>
      </c>
      <c r="D44" s="1" t="s">
        <v>88</v>
      </c>
      <c r="E44" s="17">
        <v>154</v>
      </c>
      <c r="F44" s="17">
        <v>26</v>
      </c>
      <c r="G44" s="17">
        <v>15</v>
      </c>
      <c r="H44" s="18">
        <f>G44-F44</f>
        <v>-11</v>
      </c>
      <c r="I44" s="19">
        <v>3</v>
      </c>
      <c r="J44" s="19">
        <v>0</v>
      </c>
      <c r="K44" s="19">
        <v>3</v>
      </c>
      <c r="L44" s="20">
        <f t="shared" si="0"/>
        <v>3</v>
      </c>
    </row>
    <row r="45" spans="1:12" hidden="1" x14ac:dyDescent="0.35">
      <c r="A45" s="8">
        <v>42</v>
      </c>
      <c r="B45" s="1" t="s">
        <v>112</v>
      </c>
      <c r="C45" s="1" t="s">
        <v>61</v>
      </c>
      <c r="D45" s="1" t="s">
        <v>29</v>
      </c>
      <c r="E45" s="17">
        <v>628</v>
      </c>
      <c r="F45" s="17">
        <v>154</v>
      </c>
      <c r="G45" s="17">
        <v>150</v>
      </c>
      <c r="H45" s="18">
        <f>G45-F45</f>
        <v>-4</v>
      </c>
      <c r="I45" s="19">
        <v>29</v>
      </c>
      <c r="J45" s="19">
        <v>28</v>
      </c>
      <c r="K45" s="19">
        <v>60</v>
      </c>
      <c r="L45" s="20">
        <f t="shared" si="0"/>
        <v>32</v>
      </c>
    </row>
    <row r="46" spans="1:12" hidden="1" x14ac:dyDescent="0.35">
      <c r="A46" s="8">
        <v>43</v>
      </c>
      <c r="B46" s="1" t="s">
        <v>114</v>
      </c>
      <c r="C46" s="1" t="s">
        <v>15</v>
      </c>
      <c r="D46" s="1" t="s">
        <v>68</v>
      </c>
      <c r="E46" s="17">
        <v>163</v>
      </c>
      <c r="F46" s="17">
        <v>31</v>
      </c>
      <c r="G46" s="17">
        <v>27</v>
      </c>
      <c r="H46" s="18">
        <f>G46-F46</f>
        <v>-4</v>
      </c>
      <c r="I46" s="19">
        <v>2</v>
      </c>
      <c r="J46" s="19">
        <v>6</v>
      </c>
      <c r="K46" s="19">
        <v>6</v>
      </c>
      <c r="L46" s="20">
        <f t="shared" si="0"/>
        <v>0</v>
      </c>
    </row>
    <row r="47" spans="1:12" hidden="1" x14ac:dyDescent="0.35">
      <c r="A47" s="8">
        <v>44</v>
      </c>
      <c r="B47" s="1" t="s">
        <v>116</v>
      </c>
      <c r="C47" s="1" t="s">
        <v>15</v>
      </c>
      <c r="D47" s="1" t="s">
        <v>68</v>
      </c>
      <c r="E47" s="17">
        <v>165</v>
      </c>
      <c r="F47" s="17">
        <v>19</v>
      </c>
      <c r="G47" s="17">
        <v>26</v>
      </c>
      <c r="H47" s="18">
        <f>G47-F47</f>
        <v>7</v>
      </c>
      <c r="I47" s="19">
        <v>6</v>
      </c>
      <c r="J47" s="19">
        <v>19</v>
      </c>
      <c r="K47" s="19">
        <v>10</v>
      </c>
      <c r="L47" s="20">
        <f t="shared" si="0"/>
        <v>-9</v>
      </c>
    </row>
    <row r="48" spans="1:12" hidden="1" x14ac:dyDescent="0.35">
      <c r="A48" s="8">
        <v>45</v>
      </c>
      <c r="B48" s="1" t="s">
        <v>118</v>
      </c>
      <c r="C48" s="1" t="s">
        <v>15</v>
      </c>
      <c r="D48" s="1" t="s">
        <v>37</v>
      </c>
      <c r="E48" s="17">
        <v>82</v>
      </c>
      <c r="F48" s="17">
        <v>15</v>
      </c>
      <c r="G48" s="17">
        <v>64</v>
      </c>
      <c r="H48" s="18">
        <f>G48-F48</f>
        <v>49</v>
      </c>
      <c r="I48" s="19">
        <v>5</v>
      </c>
      <c r="J48" s="19">
        <v>25</v>
      </c>
      <c r="K48" s="19">
        <v>12</v>
      </c>
      <c r="L48" s="20">
        <f t="shared" si="0"/>
        <v>-13</v>
      </c>
    </row>
    <row r="49" spans="1:12" hidden="1" x14ac:dyDescent="0.35">
      <c r="A49" s="8">
        <v>46</v>
      </c>
      <c r="B49" s="1" t="s">
        <v>120</v>
      </c>
      <c r="C49" s="1" t="s">
        <v>15</v>
      </c>
      <c r="D49" s="1" t="s">
        <v>37</v>
      </c>
      <c r="E49" s="17">
        <v>86</v>
      </c>
      <c r="F49" s="17">
        <v>59</v>
      </c>
      <c r="G49" s="17">
        <v>14</v>
      </c>
      <c r="H49" s="18">
        <f>G49-F49</f>
        <v>-45</v>
      </c>
      <c r="I49" s="19">
        <v>0</v>
      </c>
      <c r="J49" s="19">
        <v>1</v>
      </c>
      <c r="K49" s="19">
        <v>0</v>
      </c>
      <c r="L49" s="20">
        <f t="shared" si="0"/>
        <v>-1</v>
      </c>
    </row>
    <row r="50" spans="1:12" hidden="1" x14ac:dyDescent="0.35">
      <c r="A50" s="8">
        <v>47</v>
      </c>
      <c r="B50" s="1" t="s">
        <v>122</v>
      </c>
      <c r="C50" s="1" t="s">
        <v>15</v>
      </c>
      <c r="D50" s="1" t="s">
        <v>101</v>
      </c>
      <c r="E50" s="17">
        <v>155</v>
      </c>
      <c r="F50" s="17">
        <v>42</v>
      </c>
      <c r="G50" s="17">
        <v>10</v>
      </c>
      <c r="H50" s="18">
        <f>G50-F50</f>
        <v>-32</v>
      </c>
      <c r="I50" s="19">
        <v>7</v>
      </c>
      <c r="J50" s="19">
        <v>7</v>
      </c>
      <c r="K50" s="19">
        <v>8</v>
      </c>
      <c r="L50" s="20">
        <f t="shared" si="0"/>
        <v>1</v>
      </c>
    </row>
    <row r="51" spans="1:12" hidden="1" x14ac:dyDescent="0.35">
      <c r="A51" s="8">
        <v>48</v>
      </c>
      <c r="B51" s="1" t="s">
        <v>124</v>
      </c>
      <c r="C51" s="1" t="s">
        <v>61</v>
      </c>
      <c r="D51" s="1" t="s">
        <v>51</v>
      </c>
      <c r="E51" s="17">
        <v>902</v>
      </c>
      <c r="F51" s="17">
        <v>310</v>
      </c>
      <c r="G51" s="17">
        <v>142</v>
      </c>
      <c r="H51" s="18">
        <f>G51-F51</f>
        <v>-168</v>
      </c>
      <c r="I51" s="19">
        <v>10</v>
      </c>
      <c r="J51" s="19">
        <v>63</v>
      </c>
      <c r="K51" s="19">
        <v>42</v>
      </c>
      <c r="L51" s="20">
        <f t="shared" si="0"/>
        <v>-21</v>
      </c>
    </row>
    <row r="52" spans="1:12" hidden="1" x14ac:dyDescent="0.35">
      <c r="A52" s="8">
        <v>49</v>
      </c>
      <c r="B52" s="1" t="s">
        <v>126</v>
      </c>
      <c r="C52" s="1" t="s">
        <v>15</v>
      </c>
      <c r="D52" s="1" t="s">
        <v>16</v>
      </c>
      <c r="E52" s="17">
        <v>115</v>
      </c>
      <c r="F52" s="17">
        <v>42</v>
      </c>
      <c r="G52" s="17">
        <v>9</v>
      </c>
      <c r="H52" s="18">
        <f>G52-F52</f>
        <v>-33</v>
      </c>
      <c r="I52" s="19">
        <v>13</v>
      </c>
      <c r="J52" s="19">
        <v>21</v>
      </c>
      <c r="K52" s="19">
        <v>15</v>
      </c>
      <c r="L52" s="20">
        <f t="shared" si="0"/>
        <v>-6</v>
      </c>
    </row>
    <row r="53" spans="1:12" hidden="1" x14ac:dyDescent="0.35">
      <c r="A53" s="8">
        <v>50</v>
      </c>
      <c r="B53" s="1" t="s">
        <v>128</v>
      </c>
      <c r="C53" s="1" t="s">
        <v>15</v>
      </c>
      <c r="D53" s="1" t="s">
        <v>16</v>
      </c>
      <c r="E53" s="17">
        <v>108</v>
      </c>
      <c r="F53" s="17">
        <v>50</v>
      </c>
      <c r="G53" s="17">
        <v>20</v>
      </c>
      <c r="H53" s="18">
        <f>G53-F53</f>
        <v>-30</v>
      </c>
      <c r="I53" s="19">
        <v>11</v>
      </c>
      <c r="J53" s="19">
        <v>23</v>
      </c>
      <c r="K53" s="19">
        <v>20</v>
      </c>
      <c r="L53" s="20">
        <f t="shared" si="0"/>
        <v>-3</v>
      </c>
    </row>
    <row r="54" spans="1:12" hidden="1" x14ac:dyDescent="0.35">
      <c r="A54" s="8">
        <v>51</v>
      </c>
      <c r="B54" s="1" t="s">
        <v>130</v>
      </c>
      <c r="C54" s="1" t="s">
        <v>61</v>
      </c>
      <c r="D54" s="1" t="s">
        <v>16</v>
      </c>
      <c r="E54" s="17">
        <v>649</v>
      </c>
      <c r="F54" s="17">
        <v>229</v>
      </c>
      <c r="G54" s="17">
        <v>162</v>
      </c>
      <c r="H54" s="18">
        <f>G54-F54</f>
        <v>-67</v>
      </c>
      <c r="I54" s="19">
        <v>37</v>
      </c>
      <c r="J54" s="19">
        <v>77</v>
      </c>
      <c r="K54" s="19">
        <v>92</v>
      </c>
      <c r="L54" s="20">
        <f t="shared" si="0"/>
        <v>15</v>
      </c>
    </row>
    <row r="55" spans="1:12" hidden="1" x14ac:dyDescent="0.35">
      <c r="A55" s="8">
        <v>52</v>
      </c>
      <c r="B55" s="1" t="s">
        <v>132</v>
      </c>
      <c r="C55" s="1" t="s">
        <v>15</v>
      </c>
      <c r="D55" s="1" t="s">
        <v>34</v>
      </c>
      <c r="E55" s="17">
        <v>107</v>
      </c>
      <c r="F55" s="17">
        <v>18</v>
      </c>
      <c r="G55" s="17">
        <v>16</v>
      </c>
      <c r="H55" s="18">
        <f>G55-F55</f>
        <v>-2</v>
      </c>
      <c r="I55" s="19">
        <v>4</v>
      </c>
      <c r="J55" s="19">
        <v>4</v>
      </c>
      <c r="K55" s="19">
        <v>4</v>
      </c>
      <c r="L55" s="20">
        <f t="shared" si="0"/>
        <v>0</v>
      </c>
    </row>
    <row r="56" spans="1:12" hidden="1" x14ac:dyDescent="0.35">
      <c r="A56" s="8">
        <v>53</v>
      </c>
      <c r="B56" s="1" t="s">
        <v>134</v>
      </c>
      <c r="C56" s="1" t="s">
        <v>15</v>
      </c>
      <c r="D56" s="1" t="s">
        <v>51</v>
      </c>
      <c r="E56" s="17">
        <v>155</v>
      </c>
      <c r="F56" s="17">
        <v>85</v>
      </c>
      <c r="G56" s="17">
        <v>6</v>
      </c>
      <c r="H56" s="18">
        <f>G56-F56</f>
        <v>-79</v>
      </c>
      <c r="I56" s="19">
        <v>1</v>
      </c>
      <c r="J56" s="19">
        <v>5</v>
      </c>
      <c r="K56" s="19">
        <v>6</v>
      </c>
      <c r="L56" s="20">
        <f t="shared" si="0"/>
        <v>1</v>
      </c>
    </row>
    <row r="57" spans="1:12" hidden="1" x14ac:dyDescent="0.35">
      <c r="A57" s="8">
        <v>54</v>
      </c>
      <c r="B57" s="1" t="s">
        <v>136</v>
      </c>
      <c r="C57" s="1" t="s">
        <v>15</v>
      </c>
      <c r="D57" s="1" t="s">
        <v>29</v>
      </c>
      <c r="E57" s="17">
        <v>120</v>
      </c>
      <c r="F57" s="17">
        <v>19</v>
      </c>
      <c r="G57" s="17">
        <v>26</v>
      </c>
      <c r="H57" s="18">
        <f>G57-F57</f>
        <v>7</v>
      </c>
      <c r="I57" s="19">
        <v>6</v>
      </c>
      <c r="J57" s="19">
        <v>4</v>
      </c>
      <c r="K57" s="19">
        <v>14</v>
      </c>
      <c r="L57" s="20">
        <f t="shared" si="0"/>
        <v>10</v>
      </c>
    </row>
    <row r="58" spans="1:12" hidden="1" x14ac:dyDescent="0.35">
      <c r="A58" s="8">
        <v>55</v>
      </c>
      <c r="B58" s="1" t="s">
        <v>138</v>
      </c>
      <c r="C58" s="1" t="s">
        <v>15</v>
      </c>
      <c r="D58" s="1" t="s">
        <v>51</v>
      </c>
      <c r="E58" s="17">
        <v>148</v>
      </c>
      <c r="F58" s="17">
        <v>99</v>
      </c>
      <c r="G58" s="17">
        <v>44</v>
      </c>
      <c r="H58" s="18">
        <f>G58-F58</f>
        <v>-55</v>
      </c>
      <c r="I58" s="19">
        <v>2</v>
      </c>
      <c r="J58" s="19">
        <v>3</v>
      </c>
      <c r="K58" s="19">
        <v>10</v>
      </c>
      <c r="L58" s="20">
        <f t="shared" si="0"/>
        <v>7</v>
      </c>
    </row>
    <row r="59" spans="1:12" hidden="1" x14ac:dyDescent="0.35">
      <c r="A59" s="8">
        <v>56</v>
      </c>
      <c r="B59" s="1" t="s">
        <v>140</v>
      </c>
      <c r="C59" s="1" t="s">
        <v>15</v>
      </c>
      <c r="D59" s="1" t="s">
        <v>37</v>
      </c>
      <c r="E59" s="17">
        <v>155</v>
      </c>
      <c r="F59" s="17">
        <v>19</v>
      </c>
      <c r="G59" s="17">
        <v>30</v>
      </c>
      <c r="H59" s="18">
        <f>G59-F59</f>
        <v>11</v>
      </c>
      <c r="I59" s="19">
        <v>1</v>
      </c>
      <c r="J59" s="19">
        <v>8</v>
      </c>
      <c r="K59" s="19">
        <v>5</v>
      </c>
      <c r="L59" s="20">
        <f t="shared" si="0"/>
        <v>-3</v>
      </c>
    </row>
    <row r="60" spans="1:12" x14ac:dyDescent="0.35">
      <c r="A60" s="8">
        <v>57</v>
      </c>
      <c r="B60" s="1" t="s">
        <v>142</v>
      </c>
      <c r="C60" s="1" t="s">
        <v>61</v>
      </c>
      <c r="D60" s="1" t="s">
        <v>93</v>
      </c>
      <c r="E60" s="17">
        <v>822</v>
      </c>
      <c r="F60" s="17">
        <v>237</v>
      </c>
      <c r="G60" s="17">
        <v>145</v>
      </c>
      <c r="H60" s="18">
        <f>G60-F60</f>
        <v>-92</v>
      </c>
      <c r="I60" s="19">
        <v>25</v>
      </c>
      <c r="J60" s="19">
        <v>64</v>
      </c>
      <c r="K60" s="19">
        <v>45</v>
      </c>
      <c r="L60" s="20">
        <f t="shared" si="0"/>
        <v>-19</v>
      </c>
    </row>
    <row r="61" spans="1:12" hidden="1" x14ac:dyDescent="0.35">
      <c r="A61" s="8">
        <v>58</v>
      </c>
      <c r="B61" s="1" t="s">
        <v>144</v>
      </c>
      <c r="C61" s="1" t="s">
        <v>15</v>
      </c>
      <c r="D61" s="1" t="s">
        <v>146</v>
      </c>
      <c r="E61" s="17">
        <v>141</v>
      </c>
      <c r="F61" s="17">
        <v>41</v>
      </c>
      <c r="G61" s="17">
        <v>33</v>
      </c>
      <c r="H61" s="18">
        <f>G61-F61</f>
        <v>-8</v>
      </c>
      <c r="I61" s="19">
        <v>15</v>
      </c>
      <c r="J61" s="19">
        <v>18</v>
      </c>
      <c r="K61" s="19">
        <v>22</v>
      </c>
      <c r="L61" s="20">
        <f t="shared" si="0"/>
        <v>4</v>
      </c>
    </row>
    <row r="62" spans="1:12" hidden="1" x14ac:dyDescent="0.35">
      <c r="A62" s="8">
        <v>59</v>
      </c>
      <c r="B62" s="1" t="s">
        <v>147</v>
      </c>
      <c r="C62" s="1" t="s">
        <v>15</v>
      </c>
      <c r="D62" s="1" t="s">
        <v>16</v>
      </c>
      <c r="E62" s="17">
        <v>98</v>
      </c>
      <c r="F62" s="17">
        <v>38</v>
      </c>
      <c r="G62" s="17">
        <v>43</v>
      </c>
      <c r="H62" s="18">
        <f>G62-F62</f>
        <v>5</v>
      </c>
      <c r="I62" s="19">
        <v>4</v>
      </c>
      <c r="J62" s="19">
        <v>7</v>
      </c>
      <c r="K62" s="19">
        <v>6</v>
      </c>
      <c r="L62" s="20">
        <f t="shared" si="0"/>
        <v>-1</v>
      </c>
    </row>
    <row r="63" spans="1:12" hidden="1" x14ac:dyDescent="0.35">
      <c r="A63" s="8">
        <v>60</v>
      </c>
      <c r="B63" s="1" t="s">
        <v>149</v>
      </c>
      <c r="C63" s="1" t="s">
        <v>61</v>
      </c>
      <c r="D63" s="1" t="s">
        <v>48</v>
      </c>
      <c r="E63" s="17">
        <v>1004</v>
      </c>
      <c r="F63" s="17">
        <v>321</v>
      </c>
      <c r="G63" s="17">
        <v>183</v>
      </c>
      <c r="H63" s="18">
        <f>G63-F63</f>
        <v>-138</v>
      </c>
      <c r="I63" s="19">
        <v>26</v>
      </c>
      <c r="J63" s="19">
        <v>54</v>
      </c>
      <c r="K63" s="19">
        <v>49</v>
      </c>
      <c r="L63" s="20">
        <f t="shared" si="0"/>
        <v>-5</v>
      </c>
    </row>
    <row r="64" spans="1:12" hidden="1" x14ac:dyDescent="0.35">
      <c r="A64" s="8">
        <v>61</v>
      </c>
      <c r="B64" s="1" t="s">
        <v>151</v>
      </c>
      <c r="C64" s="1" t="s">
        <v>61</v>
      </c>
      <c r="D64" s="1" t="s">
        <v>58</v>
      </c>
      <c r="E64" s="17">
        <v>744</v>
      </c>
      <c r="F64" s="17">
        <v>121</v>
      </c>
      <c r="G64" s="17">
        <v>161</v>
      </c>
      <c r="H64" s="18">
        <f>G64-F64</f>
        <v>40</v>
      </c>
      <c r="I64" s="19">
        <v>34</v>
      </c>
      <c r="J64" s="19">
        <v>49</v>
      </c>
      <c r="K64" s="19">
        <v>59</v>
      </c>
      <c r="L64" s="20">
        <f t="shared" si="0"/>
        <v>10</v>
      </c>
    </row>
    <row r="65" spans="1:12" hidden="1" x14ac:dyDescent="0.35">
      <c r="A65" s="8">
        <v>62</v>
      </c>
      <c r="B65" s="1" t="s">
        <v>153</v>
      </c>
      <c r="C65" s="1" t="s">
        <v>15</v>
      </c>
      <c r="D65" s="1" t="s">
        <v>29</v>
      </c>
      <c r="E65" s="17">
        <v>109</v>
      </c>
      <c r="F65" s="17">
        <v>30</v>
      </c>
      <c r="G65" s="17">
        <v>21</v>
      </c>
      <c r="H65" s="18">
        <f>G65-F65</f>
        <v>-9</v>
      </c>
      <c r="I65" s="19">
        <v>4</v>
      </c>
      <c r="J65" s="19">
        <v>1</v>
      </c>
      <c r="K65" s="19">
        <v>5</v>
      </c>
      <c r="L65" s="20">
        <f t="shared" si="0"/>
        <v>4</v>
      </c>
    </row>
    <row r="66" spans="1:12" hidden="1" x14ac:dyDescent="0.35">
      <c r="A66" s="8">
        <v>63</v>
      </c>
      <c r="B66" s="1" t="s">
        <v>155</v>
      </c>
      <c r="C66" s="1" t="s">
        <v>61</v>
      </c>
      <c r="D66" s="1" t="s">
        <v>157</v>
      </c>
      <c r="E66" s="17">
        <v>693</v>
      </c>
      <c r="F66" s="17">
        <v>231</v>
      </c>
      <c r="G66" s="17">
        <v>167</v>
      </c>
      <c r="H66" s="18">
        <f>G66-F66</f>
        <v>-64</v>
      </c>
      <c r="I66" s="19">
        <v>18</v>
      </c>
      <c r="J66" s="19">
        <v>66</v>
      </c>
      <c r="K66" s="19">
        <v>39</v>
      </c>
      <c r="L66" s="20">
        <f t="shared" si="0"/>
        <v>-27</v>
      </c>
    </row>
    <row r="67" spans="1:12" hidden="1" x14ac:dyDescent="0.35">
      <c r="A67" s="8">
        <v>64</v>
      </c>
      <c r="B67" s="1" t="s">
        <v>158</v>
      </c>
      <c r="C67" s="1" t="s">
        <v>15</v>
      </c>
      <c r="D67" s="1" t="s">
        <v>29</v>
      </c>
      <c r="E67" s="17">
        <v>89</v>
      </c>
      <c r="F67" s="17">
        <v>26</v>
      </c>
      <c r="G67" s="17">
        <v>23</v>
      </c>
      <c r="H67" s="18">
        <f>G67-F67</f>
        <v>-3</v>
      </c>
      <c r="I67" s="19">
        <v>3</v>
      </c>
      <c r="J67" s="19">
        <v>6</v>
      </c>
      <c r="K67" s="19">
        <v>11</v>
      </c>
      <c r="L67" s="20">
        <f t="shared" si="0"/>
        <v>5</v>
      </c>
    </row>
    <row r="68" spans="1:12" hidden="1" x14ac:dyDescent="0.35">
      <c r="A68" s="8">
        <v>65</v>
      </c>
      <c r="B68" s="1" t="s">
        <v>160</v>
      </c>
      <c r="C68" s="1" t="s">
        <v>15</v>
      </c>
      <c r="D68" s="1" t="s">
        <v>58</v>
      </c>
      <c r="E68" s="17">
        <v>133</v>
      </c>
      <c r="F68" s="17">
        <v>10</v>
      </c>
      <c r="G68" s="17">
        <v>21</v>
      </c>
      <c r="H68" s="18">
        <f>G68-F68</f>
        <v>11</v>
      </c>
      <c r="I68" s="19">
        <v>13</v>
      </c>
      <c r="J68" s="19">
        <v>16</v>
      </c>
      <c r="K68" s="19">
        <v>30</v>
      </c>
      <c r="L68" s="20">
        <f t="shared" si="0"/>
        <v>14</v>
      </c>
    </row>
    <row r="69" spans="1:12" hidden="1" x14ac:dyDescent="0.35">
      <c r="A69" s="8">
        <v>66</v>
      </c>
      <c r="B69" s="1" t="s">
        <v>162</v>
      </c>
      <c r="C69" s="1" t="s">
        <v>61</v>
      </c>
      <c r="D69" s="1" t="s">
        <v>48</v>
      </c>
      <c r="E69" s="17">
        <v>585</v>
      </c>
      <c r="F69" s="17">
        <v>246</v>
      </c>
      <c r="G69" s="17">
        <v>93</v>
      </c>
      <c r="H69" s="18">
        <f>G69-F69</f>
        <v>-153</v>
      </c>
      <c r="I69" s="19">
        <v>16</v>
      </c>
      <c r="J69" s="19">
        <v>61</v>
      </c>
      <c r="K69" s="19">
        <v>44</v>
      </c>
      <c r="L69" s="20">
        <f t="shared" ref="L69:L132" si="1">K69-J69</f>
        <v>-17</v>
      </c>
    </row>
    <row r="70" spans="1:12" hidden="1" x14ac:dyDescent="0.35">
      <c r="A70" s="8">
        <v>67</v>
      </c>
      <c r="B70" s="1" t="s">
        <v>164</v>
      </c>
      <c r="C70" s="1" t="s">
        <v>15</v>
      </c>
      <c r="D70" s="1" t="s">
        <v>48</v>
      </c>
      <c r="E70" s="17">
        <v>184</v>
      </c>
      <c r="F70" s="17">
        <v>30</v>
      </c>
      <c r="G70" s="17">
        <v>20</v>
      </c>
      <c r="H70" s="18">
        <f>G70-F70</f>
        <v>-10</v>
      </c>
      <c r="I70" s="19">
        <v>3</v>
      </c>
      <c r="J70" s="19">
        <v>13</v>
      </c>
      <c r="K70" s="19">
        <v>8</v>
      </c>
      <c r="L70" s="20">
        <f t="shared" si="1"/>
        <v>-5</v>
      </c>
    </row>
    <row r="71" spans="1:12" hidden="1" x14ac:dyDescent="0.35">
      <c r="A71" s="8">
        <v>68</v>
      </c>
      <c r="B71" s="1" t="s">
        <v>166</v>
      </c>
      <c r="C71" s="1" t="s">
        <v>61</v>
      </c>
      <c r="D71" s="1" t="s">
        <v>58</v>
      </c>
      <c r="E71" s="17">
        <v>908</v>
      </c>
      <c r="F71" s="17">
        <v>191</v>
      </c>
      <c r="G71" s="17">
        <v>104</v>
      </c>
      <c r="H71" s="18">
        <f>G71-F71</f>
        <v>-87</v>
      </c>
      <c r="I71" s="19">
        <v>59</v>
      </c>
      <c r="J71" s="19">
        <v>74</v>
      </c>
      <c r="K71" s="19">
        <v>63</v>
      </c>
      <c r="L71" s="20">
        <f t="shared" si="1"/>
        <v>-11</v>
      </c>
    </row>
    <row r="72" spans="1:12" hidden="1" x14ac:dyDescent="0.35">
      <c r="A72" s="8">
        <v>69</v>
      </c>
      <c r="B72" s="1" t="s">
        <v>168</v>
      </c>
      <c r="C72" s="1" t="s">
        <v>15</v>
      </c>
      <c r="D72" s="1" t="s">
        <v>58</v>
      </c>
      <c r="E72" s="17">
        <v>121</v>
      </c>
      <c r="F72" s="17">
        <v>18</v>
      </c>
      <c r="G72" s="17">
        <v>17</v>
      </c>
      <c r="H72" s="18">
        <f>G72-F72</f>
        <v>-1</v>
      </c>
      <c r="I72" s="19">
        <v>1</v>
      </c>
      <c r="J72" s="19">
        <v>8</v>
      </c>
      <c r="K72" s="19">
        <v>1</v>
      </c>
      <c r="L72" s="20">
        <f t="shared" si="1"/>
        <v>-7</v>
      </c>
    </row>
    <row r="73" spans="1:12" hidden="1" x14ac:dyDescent="0.35">
      <c r="A73" s="8">
        <v>70</v>
      </c>
      <c r="B73" s="1" t="s">
        <v>170</v>
      </c>
      <c r="C73" s="1" t="s">
        <v>15</v>
      </c>
      <c r="D73" s="1" t="s">
        <v>51</v>
      </c>
      <c r="E73" s="17">
        <v>167</v>
      </c>
      <c r="F73" s="17">
        <v>20</v>
      </c>
      <c r="G73" s="17">
        <v>40</v>
      </c>
      <c r="H73" s="18">
        <f>G73-F73</f>
        <v>20</v>
      </c>
      <c r="I73" s="19">
        <v>2</v>
      </c>
      <c r="J73" s="19">
        <v>12</v>
      </c>
      <c r="K73" s="19">
        <v>9</v>
      </c>
      <c r="L73" s="20">
        <f t="shared" si="1"/>
        <v>-3</v>
      </c>
    </row>
    <row r="74" spans="1:12" hidden="1" x14ac:dyDescent="0.35">
      <c r="A74" s="8">
        <v>71</v>
      </c>
      <c r="B74" s="1" t="s">
        <v>172</v>
      </c>
      <c r="C74" s="1" t="s">
        <v>15</v>
      </c>
      <c r="D74" s="1" t="s">
        <v>34</v>
      </c>
      <c r="E74" s="17">
        <v>94</v>
      </c>
      <c r="F74" s="17">
        <v>13</v>
      </c>
      <c r="G74" s="17">
        <v>34</v>
      </c>
      <c r="H74" s="18">
        <f>G74-F74</f>
        <v>21</v>
      </c>
      <c r="I74" s="19">
        <v>5</v>
      </c>
      <c r="J74" s="19">
        <v>18</v>
      </c>
      <c r="K74" s="19">
        <v>8</v>
      </c>
      <c r="L74" s="20">
        <f t="shared" si="1"/>
        <v>-10</v>
      </c>
    </row>
    <row r="75" spans="1:12" hidden="1" x14ac:dyDescent="0.35">
      <c r="A75" s="8">
        <v>72</v>
      </c>
      <c r="B75" s="1" t="s">
        <v>174</v>
      </c>
      <c r="C75" s="1" t="s">
        <v>15</v>
      </c>
      <c r="D75" s="1" t="s">
        <v>16</v>
      </c>
      <c r="E75" s="17">
        <v>116</v>
      </c>
      <c r="F75" s="17">
        <v>46</v>
      </c>
      <c r="G75" s="17">
        <v>39</v>
      </c>
      <c r="H75" s="18">
        <f>G75-F75</f>
        <v>-7</v>
      </c>
      <c r="I75" s="19">
        <v>4</v>
      </c>
      <c r="J75" s="19">
        <v>19</v>
      </c>
      <c r="K75" s="19">
        <v>17</v>
      </c>
      <c r="L75" s="20">
        <f t="shared" si="1"/>
        <v>-2</v>
      </c>
    </row>
    <row r="76" spans="1:12" hidden="1" x14ac:dyDescent="0.35">
      <c r="A76" s="8">
        <v>73</v>
      </c>
      <c r="B76" s="1" t="s">
        <v>176</v>
      </c>
      <c r="C76" s="1" t="s">
        <v>15</v>
      </c>
      <c r="D76" s="1" t="s">
        <v>58</v>
      </c>
      <c r="E76" s="17">
        <v>161</v>
      </c>
      <c r="F76" s="17">
        <v>47</v>
      </c>
      <c r="G76" s="17">
        <v>17</v>
      </c>
      <c r="H76" s="18">
        <f>G76-F76</f>
        <v>-30</v>
      </c>
      <c r="I76" s="19">
        <v>17</v>
      </c>
      <c r="J76" s="19">
        <v>20</v>
      </c>
      <c r="K76" s="19">
        <v>18</v>
      </c>
      <c r="L76" s="20">
        <f t="shared" si="1"/>
        <v>-2</v>
      </c>
    </row>
    <row r="77" spans="1:12" hidden="1" x14ac:dyDescent="0.35">
      <c r="A77" s="8">
        <v>74</v>
      </c>
      <c r="B77" s="1" t="s">
        <v>178</v>
      </c>
      <c r="C77" s="1" t="s">
        <v>61</v>
      </c>
      <c r="D77" s="1" t="s">
        <v>88</v>
      </c>
      <c r="E77" s="17">
        <v>358</v>
      </c>
      <c r="F77" s="17">
        <v>100</v>
      </c>
      <c r="G77" s="17">
        <v>55</v>
      </c>
      <c r="H77" s="18">
        <f>G77-F77</f>
        <v>-45</v>
      </c>
      <c r="I77" s="19">
        <v>9</v>
      </c>
      <c r="J77" s="19">
        <v>28</v>
      </c>
      <c r="K77" s="19">
        <v>9</v>
      </c>
      <c r="L77" s="20">
        <f t="shared" si="1"/>
        <v>-19</v>
      </c>
    </row>
    <row r="78" spans="1:12" hidden="1" x14ac:dyDescent="0.35">
      <c r="A78" s="8">
        <v>75</v>
      </c>
      <c r="B78" s="1" t="s">
        <v>180</v>
      </c>
      <c r="C78" s="1" t="s">
        <v>15</v>
      </c>
      <c r="D78" s="1" t="s">
        <v>58</v>
      </c>
      <c r="E78" s="17">
        <v>180</v>
      </c>
      <c r="F78" s="17">
        <v>3</v>
      </c>
      <c r="G78" s="17">
        <v>41</v>
      </c>
      <c r="H78" s="18">
        <f>G78-F78</f>
        <v>38</v>
      </c>
      <c r="I78" s="19">
        <v>15</v>
      </c>
      <c r="J78" s="19">
        <v>2</v>
      </c>
      <c r="K78" s="19">
        <v>18</v>
      </c>
      <c r="L78" s="20">
        <f t="shared" si="1"/>
        <v>16</v>
      </c>
    </row>
    <row r="79" spans="1:12" hidden="1" x14ac:dyDescent="0.35">
      <c r="A79" s="8">
        <v>76</v>
      </c>
      <c r="B79" s="1" t="s">
        <v>182</v>
      </c>
      <c r="C79" s="1" t="s">
        <v>15</v>
      </c>
      <c r="D79" s="1" t="s">
        <v>16</v>
      </c>
      <c r="E79" s="17">
        <v>141</v>
      </c>
      <c r="F79" s="17">
        <v>20</v>
      </c>
      <c r="G79" s="17">
        <v>18</v>
      </c>
      <c r="H79" s="18">
        <f>G79-F79</f>
        <v>-2</v>
      </c>
      <c r="I79" s="19">
        <v>1</v>
      </c>
      <c r="J79" s="19">
        <v>9</v>
      </c>
      <c r="K79" s="19">
        <v>3</v>
      </c>
      <c r="L79" s="20">
        <f t="shared" si="1"/>
        <v>-6</v>
      </c>
    </row>
    <row r="80" spans="1:12" hidden="1" x14ac:dyDescent="0.35">
      <c r="A80" s="8">
        <v>77</v>
      </c>
      <c r="B80" s="1" t="s">
        <v>184</v>
      </c>
      <c r="C80" s="1" t="s">
        <v>15</v>
      </c>
      <c r="D80" s="1" t="s">
        <v>29</v>
      </c>
      <c r="E80" s="17">
        <v>98</v>
      </c>
      <c r="F80" s="17">
        <v>77</v>
      </c>
      <c r="G80" s="17">
        <v>25</v>
      </c>
      <c r="H80" s="18">
        <f>G80-F80</f>
        <v>-52</v>
      </c>
      <c r="I80" s="19">
        <v>2</v>
      </c>
      <c r="J80" s="19">
        <v>10</v>
      </c>
      <c r="K80" s="19">
        <v>10</v>
      </c>
      <c r="L80" s="20">
        <f t="shared" si="1"/>
        <v>0</v>
      </c>
    </row>
    <row r="81" spans="1:12" hidden="1" x14ac:dyDescent="0.35">
      <c r="A81" s="8">
        <v>78</v>
      </c>
      <c r="B81" s="1" t="s">
        <v>186</v>
      </c>
      <c r="C81" s="1" t="s">
        <v>15</v>
      </c>
      <c r="D81" s="1" t="s">
        <v>96</v>
      </c>
      <c r="E81" s="17">
        <v>92</v>
      </c>
      <c r="F81" s="17">
        <v>12</v>
      </c>
      <c r="G81" s="17">
        <v>8</v>
      </c>
      <c r="H81" s="18">
        <f>G81-F81</f>
        <v>-4</v>
      </c>
      <c r="I81" s="19">
        <v>1</v>
      </c>
      <c r="J81" s="19">
        <v>6</v>
      </c>
      <c r="K81" s="19">
        <v>2</v>
      </c>
      <c r="L81" s="20">
        <f t="shared" si="1"/>
        <v>-4</v>
      </c>
    </row>
    <row r="82" spans="1:12" hidden="1" x14ac:dyDescent="0.35">
      <c r="A82" s="8">
        <v>79</v>
      </c>
      <c r="B82" s="1" t="s">
        <v>188</v>
      </c>
      <c r="C82" s="1" t="s">
        <v>15</v>
      </c>
      <c r="D82" s="1" t="s">
        <v>16</v>
      </c>
      <c r="E82" s="17">
        <v>113</v>
      </c>
      <c r="F82" s="17">
        <v>33</v>
      </c>
      <c r="G82" s="17">
        <v>10</v>
      </c>
      <c r="H82" s="18">
        <f>G82-F82</f>
        <v>-23</v>
      </c>
      <c r="I82" s="19">
        <v>15</v>
      </c>
      <c r="J82" s="19">
        <v>12</v>
      </c>
      <c r="K82" s="19">
        <v>22</v>
      </c>
      <c r="L82" s="20">
        <f t="shared" si="1"/>
        <v>10</v>
      </c>
    </row>
    <row r="83" spans="1:12" hidden="1" x14ac:dyDescent="0.35">
      <c r="A83" s="8">
        <v>80</v>
      </c>
      <c r="B83" s="1" t="s">
        <v>190</v>
      </c>
      <c r="C83" s="1" t="s">
        <v>15</v>
      </c>
      <c r="D83" s="1" t="s">
        <v>34</v>
      </c>
      <c r="E83" s="17">
        <v>85</v>
      </c>
      <c r="F83" s="17">
        <v>104</v>
      </c>
      <c r="G83" s="17">
        <v>13</v>
      </c>
      <c r="H83" s="18">
        <f>G83-F83</f>
        <v>-91</v>
      </c>
      <c r="I83" s="19">
        <v>2</v>
      </c>
      <c r="J83" s="19">
        <v>3</v>
      </c>
      <c r="K83" s="19">
        <v>5</v>
      </c>
      <c r="L83" s="20">
        <f t="shared" si="1"/>
        <v>2</v>
      </c>
    </row>
    <row r="84" spans="1:12" hidden="1" x14ac:dyDescent="0.35">
      <c r="A84" s="8">
        <v>81</v>
      </c>
      <c r="B84" s="1" t="s">
        <v>192</v>
      </c>
      <c r="C84" s="1" t="s">
        <v>15</v>
      </c>
      <c r="D84" s="1" t="s">
        <v>29</v>
      </c>
      <c r="E84" s="17">
        <v>104</v>
      </c>
      <c r="F84" s="17">
        <v>8</v>
      </c>
      <c r="G84" s="17">
        <v>23</v>
      </c>
      <c r="H84" s="18">
        <f>G84-F84</f>
        <v>15</v>
      </c>
      <c r="I84" s="19">
        <v>1</v>
      </c>
      <c r="J84" s="19">
        <v>0</v>
      </c>
      <c r="K84" s="19">
        <v>1</v>
      </c>
      <c r="L84" s="20">
        <f>K84-J84</f>
        <v>1</v>
      </c>
    </row>
    <row r="85" spans="1:12" hidden="1" x14ac:dyDescent="0.35">
      <c r="A85" s="8">
        <v>82</v>
      </c>
      <c r="B85" s="1" t="s">
        <v>194</v>
      </c>
      <c r="C85" s="1" t="s">
        <v>15</v>
      </c>
      <c r="D85" s="1" t="s">
        <v>68</v>
      </c>
      <c r="E85" s="17">
        <v>153</v>
      </c>
      <c r="F85" s="17">
        <v>52</v>
      </c>
      <c r="G85" s="17">
        <v>40</v>
      </c>
      <c r="H85" s="18">
        <f>G85-F85</f>
        <v>-12</v>
      </c>
      <c r="I85" s="19">
        <v>6</v>
      </c>
      <c r="J85" s="19">
        <v>10</v>
      </c>
      <c r="K85" s="19">
        <v>9</v>
      </c>
      <c r="L85" s="20">
        <f t="shared" si="1"/>
        <v>-1</v>
      </c>
    </row>
    <row r="86" spans="1:12" hidden="1" x14ac:dyDescent="0.35">
      <c r="A86" s="8">
        <v>83</v>
      </c>
      <c r="B86" s="1" t="s">
        <v>196</v>
      </c>
      <c r="C86" s="1" t="s">
        <v>15</v>
      </c>
      <c r="D86" s="1" t="s">
        <v>29</v>
      </c>
      <c r="E86" s="17">
        <v>149</v>
      </c>
      <c r="F86" s="17">
        <v>19</v>
      </c>
      <c r="G86" s="17">
        <v>26</v>
      </c>
      <c r="H86" s="18">
        <f>G86-F86</f>
        <v>7</v>
      </c>
      <c r="I86" s="19">
        <v>4</v>
      </c>
      <c r="J86" s="19">
        <v>16</v>
      </c>
      <c r="K86" s="19">
        <v>8</v>
      </c>
      <c r="L86" s="20">
        <f t="shared" si="1"/>
        <v>-8</v>
      </c>
    </row>
    <row r="87" spans="1:12" hidden="1" x14ac:dyDescent="0.35">
      <c r="A87" s="8">
        <v>84</v>
      </c>
      <c r="B87" s="1" t="s">
        <v>198</v>
      </c>
      <c r="C87" s="1" t="s">
        <v>15</v>
      </c>
      <c r="D87" s="1" t="s">
        <v>51</v>
      </c>
      <c r="E87" s="17">
        <v>189</v>
      </c>
      <c r="F87" s="17">
        <v>80</v>
      </c>
      <c r="G87" s="17">
        <v>28</v>
      </c>
      <c r="H87" s="18">
        <f>G87-F87</f>
        <v>-52</v>
      </c>
      <c r="I87" s="19">
        <v>1</v>
      </c>
      <c r="J87" s="19">
        <v>29</v>
      </c>
      <c r="K87" s="19">
        <v>9</v>
      </c>
      <c r="L87" s="20">
        <f t="shared" si="1"/>
        <v>-20</v>
      </c>
    </row>
    <row r="88" spans="1:12" x14ac:dyDescent="0.35">
      <c r="A88" s="8">
        <v>85</v>
      </c>
      <c r="B88" s="1" t="s">
        <v>200</v>
      </c>
      <c r="C88" s="1" t="s">
        <v>15</v>
      </c>
      <c r="D88" s="1" t="s">
        <v>93</v>
      </c>
      <c r="E88" s="17">
        <v>107</v>
      </c>
      <c r="F88" s="17">
        <v>47</v>
      </c>
      <c r="G88" s="17">
        <v>9</v>
      </c>
      <c r="H88" s="18">
        <f>G88-F88</f>
        <v>-38</v>
      </c>
      <c r="I88" s="19">
        <v>2</v>
      </c>
      <c r="J88" s="19">
        <v>10</v>
      </c>
      <c r="K88" s="19">
        <v>3</v>
      </c>
      <c r="L88" s="20">
        <f t="shared" si="1"/>
        <v>-7</v>
      </c>
    </row>
    <row r="89" spans="1:12" hidden="1" x14ac:dyDescent="0.35">
      <c r="A89" s="8">
        <v>86</v>
      </c>
      <c r="B89" s="1" t="s">
        <v>202</v>
      </c>
      <c r="C89" s="1" t="s">
        <v>15</v>
      </c>
      <c r="D89" s="1" t="s">
        <v>68</v>
      </c>
      <c r="E89" s="17">
        <v>117</v>
      </c>
      <c r="F89" s="17">
        <v>19</v>
      </c>
      <c r="G89" s="17">
        <v>24</v>
      </c>
      <c r="H89" s="18">
        <f>G89-F89</f>
        <v>5</v>
      </c>
      <c r="I89" s="19">
        <v>18</v>
      </c>
      <c r="J89" s="19">
        <v>39</v>
      </c>
      <c r="K89" s="19">
        <v>26</v>
      </c>
      <c r="L89" s="20">
        <f t="shared" si="1"/>
        <v>-13</v>
      </c>
    </row>
    <row r="90" spans="1:12" hidden="1" x14ac:dyDescent="0.35">
      <c r="A90" s="8">
        <v>87</v>
      </c>
      <c r="B90" s="1" t="s">
        <v>204</v>
      </c>
      <c r="C90" s="1" t="s">
        <v>15</v>
      </c>
      <c r="D90" s="1" t="s">
        <v>26</v>
      </c>
      <c r="E90" s="17">
        <v>157</v>
      </c>
      <c r="F90" s="17">
        <v>22</v>
      </c>
      <c r="G90" s="17">
        <v>18</v>
      </c>
      <c r="H90" s="18">
        <f>G90-F90</f>
        <v>-4</v>
      </c>
      <c r="I90" s="19">
        <v>4</v>
      </c>
      <c r="J90" s="19">
        <v>2</v>
      </c>
      <c r="K90" s="19">
        <v>4</v>
      </c>
      <c r="L90" s="20">
        <f t="shared" si="1"/>
        <v>2</v>
      </c>
    </row>
    <row r="91" spans="1:12" hidden="1" x14ac:dyDescent="0.35">
      <c r="A91" s="8">
        <v>88</v>
      </c>
      <c r="B91" s="1" t="s">
        <v>206</v>
      </c>
      <c r="C91" s="1" t="s">
        <v>15</v>
      </c>
      <c r="D91" s="1" t="s">
        <v>37</v>
      </c>
      <c r="E91" s="17">
        <v>156</v>
      </c>
      <c r="F91" s="17">
        <v>42</v>
      </c>
      <c r="G91" s="17">
        <v>24</v>
      </c>
      <c r="H91" s="18">
        <f>G91-F91</f>
        <v>-18</v>
      </c>
      <c r="I91" s="19">
        <v>1</v>
      </c>
      <c r="J91" s="19">
        <v>8</v>
      </c>
      <c r="K91" s="19">
        <v>5</v>
      </c>
      <c r="L91" s="20">
        <f t="shared" si="1"/>
        <v>-3</v>
      </c>
    </row>
    <row r="92" spans="1:12" x14ac:dyDescent="0.35">
      <c r="A92" s="8">
        <v>89</v>
      </c>
      <c r="B92" s="1" t="s">
        <v>208</v>
      </c>
      <c r="C92" s="1" t="s">
        <v>15</v>
      </c>
      <c r="D92" s="1" t="s">
        <v>93</v>
      </c>
      <c r="E92" s="17">
        <v>149</v>
      </c>
      <c r="F92" s="17">
        <v>21</v>
      </c>
      <c r="G92" s="17">
        <v>18</v>
      </c>
      <c r="H92" s="18">
        <f>G92-F92</f>
        <v>-3</v>
      </c>
      <c r="I92" s="19">
        <v>4</v>
      </c>
      <c r="J92" s="19">
        <v>8</v>
      </c>
      <c r="K92" s="19">
        <v>4</v>
      </c>
      <c r="L92" s="20">
        <f t="shared" si="1"/>
        <v>-4</v>
      </c>
    </row>
    <row r="93" spans="1:12" hidden="1" x14ac:dyDescent="0.35">
      <c r="A93" s="8">
        <v>90</v>
      </c>
      <c r="B93" s="1" t="s">
        <v>210</v>
      </c>
      <c r="C93" s="1" t="s">
        <v>15</v>
      </c>
      <c r="D93" s="1" t="s">
        <v>37</v>
      </c>
      <c r="E93" s="17">
        <v>107</v>
      </c>
      <c r="F93" s="17">
        <v>11</v>
      </c>
      <c r="G93" s="17">
        <v>64</v>
      </c>
      <c r="H93" s="18">
        <f>G93-F93</f>
        <v>53</v>
      </c>
      <c r="I93" s="19">
        <v>9</v>
      </c>
      <c r="J93" s="19">
        <v>16</v>
      </c>
      <c r="K93" s="19">
        <v>20</v>
      </c>
      <c r="L93" s="20">
        <f t="shared" si="1"/>
        <v>4</v>
      </c>
    </row>
    <row r="94" spans="1:12" hidden="1" x14ac:dyDescent="0.35">
      <c r="A94" s="8">
        <v>91</v>
      </c>
      <c r="B94" s="1" t="s">
        <v>212</v>
      </c>
      <c r="C94" s="1" t="s">
        <v>15</v>
      </c>
      <c r="D94" s="1" t="s">
        <v>16</v>
      </c>
      <c r="E94" s="17">
        <v>89</v>
      </c>
      <c r="F94" s="17">
        <v>76</v>
      </c>
      <c r="G94" s="17">
        <v>28</v>
      </c>
      <c r="H94" s="18">
        <f>G94-F94</f>
        <v>-48</v>
      </c>
      <c r="I94" s="19">
        <v>1</v>
      </c>
      <c r="J94" s="19">
        <v>8</v>
      </c>
      <c r="K94" s="19">
        <v>2</v>
      </c>
      <c r="L94" s="20">
        <f t="shared" si="1"/>
        <v>-6</v>
      </c>
    </row>
    <row r="95" spans="1:12" hidden="1" x14ac:dyDescent="0.35">
      <c r="A95" s="8">
        <v>92</v>
      </c>
      <c r="B95" s="1" t="s">
        <v>214</v>
      </c>
      <c r="C95" s="1" t="s">
        <v>15</v>
      </c>
      <c r="D95" s="1" t="s">
        <v>34</v>
      </c>
      <c r="E95" s="17">
        <v>160</v>
      </c>
      <c r="F95" s="17">
        <v>13</v>
      </c>
      <c r="G95" s="17">
        <v>20</v>
      </c>
      <c r="H95" s="18">
        <f>G95-F95</f>
        <v>7</v>
      </c>
      <c r="I95" s="19">
        <v>2</v>
      </c>
      <c r="J95" s="19">
        <v>4</v>
      </c>
      <c r="K95" s="19">
        <v>5</v>
      </c>
      <c r="L95" s="20">
        <f t="shared" si="1"/>
        <v>1</v>
      </c>
    </row>
    <row r="96" spans="1:12" hidden="1" x14ac:dyDescent="0.35">
      <c r="A96" s="8">
        <v>93</v>
      </c>
      <c r="B96" s="1" t="s">
        <v>216</v>
      </c>
      <c r="C96" s="1" t="s">
        <v>15</v>
      </c>
      <c r="D96" s="1" t="s">
        <v>34</v>
      </c>
      <c r="E96" s="17">
        <v>99</v>
      </c>
      <c r="F96" s="17">
        <v>15</v>
      </c>
      <c r="G96" s="17">
        <v>25</v>
      </c>
      <c r="H96" s="18">
        <f>G96-F96</f>
        <v>10</v>
      </c>
      <c r="I96" s="19">
        <v>6</v>
      </c>
      <c r="J96" s="19">
        <v>2</v>
      </c>
      <c r="K96" s="19">
        <v>8</v>
      </c>
      <c r="L96" s="20">
        <f t="shared" si="1"/>
        <v>6</v>
      </c>
    </row>
    <row r="97" spans="1:12" hidden="1" x14ac:dyDescent="0.35">
      <c r="A97" s="8">
        <v>94</v>
      </c>
      <c r="B97" s="1" t="s">
        <v>218</v>
      </c>
      <c r="C97" s="1" t="s">
        <v>15</v>
      </c>
      <c r="D97" s="1" t="s">
        <v>51</v>
      </c>
      <c r="E97" s="17">
        <v>135</v>
      </c>
      <c r="F97" s="17">
        <v>42</v>
      </c>
      <c r="G97" s="17">
        <v>22</v>
      </c>
      <c r="H97" s="18">
        <f>G97-F97</f>
        <v>-20</v>
      </c>
      <c r="I97" s="19">
        <v>4</v>
      </c>
      <c r="J97" s="19">
        <v>7</v>
      </c>
      <c r="K97" s="19">
        <v>6</v>
      </c>
      <c r="L97" s="20">
        <f t="shared" si="1"/>
        <v>-1</v>
      </c>
    </row>
    <row r="98" spans="1:12" hidden="1" x14ac:dyDescent="0.35">
      <c r="A98" s="8">
        <v>95</v>
      </c>
      <c r="B98" s="1" t="s">
        <v>220</v>
      </c>
      <c r="C98" s="1" t="s">
        <v>61</v>
      </c>
      <c r="D98" s="1" t="s">
        <v>96</v>
      </c>
      <c r="E98" s="17">
        <v>677</v>
      </c>
      <c r="F98" s="17">
        <v>142</v>
      </c>
      <c r="G98" s="17">
        <v>130</v>
      </c>
      <c r="H98" s="18">
        <f>G98-F98</f>
        <v>-12</v>
      </c>
      <c r="I98" s="19">
        <v>9</v>
      </c>
      <c r="J98" s="19">
        <v>45</v>
      </c>
      <c r="K98" s="19">
        <v>22</v>
      </c>
      <c r="L98" s="20">
        <f t="shared" si="1"/>
        <v>-23</v>
      </c>
    </row>
    <row r="99" spans="1:12" hidden="1" x14ac:dyDescent="0.35">
      <c r="A99" s="8">
        <v>96</v>
      </c>
      <c r="B99" s="1" t="s">
        <v>222</v>
      </c>
      <c r="C99" s="1" t="s">
        <v>15</v>
      </c>
      <c r="D99" s="1" t="s">
        <v>88</v>
      </c>
      <c r="E99" s="17">
        <v>81</v>
      </c>
      <c r="F99" s="17">
        <v>26</v>
      </c>
      <c r="G99" s="17">
        <v>2</v>
      </c>
      <c r="H99" s="18">
        <f>G99-F99</f>
        <v>-24</v>
      </c>
      <c r="I99" s="19">
        <v>5</v>
      </c>
      <c r="J99" s="19">
        <v>17</v>
      </c>
      <c r="K99" s="19">
        <v>5</v>
      </c>
      <c r="L99" s="20">
        <f t="shared" si="1"/>
        <v>-12</v>
      </c>
    </row>
    <row r="100" spans="1:12" hidden="1" x14ac:dyDescent="0.35">
      <c r="A100" s="8">
        <v>97</v>
      </c>
      <c r="B100" s="1" t="s">
        <v>224</v>
      </c>
      <c r="C100" s="1" t="s">
        <v>15</v>
      </c>
      <c r="D100" s="1" t="s">
        <v>48</v>
      </c>
      <c r="E100" s="17">
        <v>145</v>
      </c>
      <c r="F100" s="17">
        <v>33</v>
      </c>
      <c r="G100" s="17">
        <v>6</v>
      </c>
      <c r="H100" s="18">
        <f>G100-F100</f>
        <v>-27</v>
      </c>
      <c r="I100" s="19">
        <v>4</v>
      </c>
      <c r="J100" s="19">
        <v>11</v>
      </c>
      <c r="K100" s="19">
        <v>6</v>
      </c>
      <c r="L100" s="20">
        <f t="shared" si="1"/>
        <v>-5</v>
      </c>
    </row>
    <row r="101" spans="1:12" hidden="1" x14ac:dyDescent="0.35">
      <c r="A101" s="8">
        <v>98</v>
      </c>
      <c r="B101" s="1" t="s">
        <v>226</v>
      </c>
      <c r="C101" s="1" t="s">
        <v>15</v>
      </c>
      <c r="D101" s="1" t="s">
        <v>37</v>
      </c>
      <c r="E101" s="17">
        <v>109</v>
      </c>
      <c r="F101" s="17">
        <v>31</v>
      </c>
      <c r="G101" s="17">
        <v>41</v>
      </c>
      <c r="H101" s="18">
        <f>G101-F101</f>
        <v>10</v>
      </c>
      <c r="I101" s="19">
        <v>9</v>
      </c>
      <c r="J101" s="19">
        <v>16</v>
      </c>
      <c r="K101" s="19">
        <v>21</v>
      </c>
      <c r="L101" s="20">
        <f t="shared" si="1"/>
        <v>5</v>
      </c>
    </row>
    <row r="102" spans="1:12" hidden="1" x14ac:dyDescent="0.35">
      <c r="A102" s="8">
        <v>99</v>
      </c>
      <c r="B102" s="1" t="s">
        <v>228</v>
      </c>
      <c r="C102" s="1" t="s">
        <v>61</v>
      </c>
      <c r="D102" s="1" t="s">
        <v>230</v>
      </c>
      <c r="E102" s="17">
        <v>620</v>
      </c>
      <c r="F102" s="17">
        <v>197</v>
      </c>
      <c r="G102" s="17">
        <v>207</v>
      </c>
      <c r="H102" s="18">
        <f>G102-F102</f>
        <v>10</v>
      </c>
      <c r="I102" s="19">
        <v>8</v>
      </c>
      <c r="J102" s="19">
        <v>26</v>
      </c>
      <c r="K102" s="19">
        <v>35</v>
      </c>
      <c r="L102" s="20">
        <f t="shared" si="1"/>
        <v>9</v>
      </c>
    </row>
    <row r="103" spans="1:12" hidden="1" x14ac:dyDescent="0.35">
      <c r="A103" s="8">
        <v>100</v>
      </c>
      <c r="B103" s="1" t="s">
        <v>231</v>
      </c>
      <c r="C103" s="1" t="s">
        <v>15</v>
      </c>
      <c r="D103" s="1" t="s">
        <v>37</v>
      </c>
      <c r="E103" s="17">
        <v>117</v>
      </c>
      <c r="F103" s="17">
        <v>24</v>
      </c>
      <c r="G103" s="17">
        <v>24</v>
      </c>
      <c r="H103" s="18">
        <f>G103-F103</f>
        <v>0</v>
      </c>
      <c r="I103" s="19">
        <v>6</v>
      </c>
      <c r="J103" s="19">
        <v>13</v>
      </c>
      <c r="K103" s="19">
        <v>13</v>
      </c>
      <c r="L103" s="20">
        <f t="shared" si="1"/>
        <v>0</v>
      </c>
    </row>
    <row r="104" spans="1:12" hidden="1" x14ac:dyDescent="0.35">
      <c r="A104" s="8">
        <v>101</v>
      </c>
      <c r="B104" s="1" t="s">
        <v>233</v>
      </c>
      <c r="C104" s="1" t="s">
        <v>61</v>
      </c>
      <c r="D104" s="1" t="s">
        <v>37</v>
      </c>
      <c r="E104" s="17">
        <v>759</v>
      </c>
      <c r="F104" s="17">
        <v>166</v>
      </c>
      <c r="G104" s="17">
        <v>209</v>
      </c>
      <c r="H104" s="18">
        <f>G104-F104</f>
        <v>43</v>
      </c>
      <c r="I104" s="19">
        <v>24</v>
      </c>
      <c r="J104" s="19">
        <v>74</v>
      </c>
      <c r="K104" s="19">
        <v>65</v>
      </c>
      <c r="L104" s="20">
        <f t="shared" si="1"/>
        <v>-9</v>
      </c>
    </row>
    <row r="105" spans="1:12" x14ac:dyDescent="0.35">
      <c r="A105" s="8">
        <v>102</v>
      </c>
      <c r="B105" s="1" t="s">
        <v>235</v>
      </c>
      <c r="C105" s="1" t="s">
        <v>15</v>
      </c>
      <c r="D105" s="1" t="s">
        <v>93</v>
      </c>
      <c r="E105" s="17">
        <v>135</v>
      </c>
      <c r="F105" s="17">
        <v>28</v>
      </c>
      <c r="G105" s="17">
        <v>30</v>
      </c>
      <c r="H105" s="18">
        <f>G105-F105</f>
        <v>2</v>
      </c>
      <c r="I105" s="19">
        <v>2</v>
      </c>
      <c r="J105" s="19">
        <v>4</v>
      </c>
      <c r="K105" s="19">
        <v>4</v>
      </c>
      <c r="L105" s="20">
        <f t="shared" si="1"/>
        <v>0</v>
      </c>
    </row>
    <row r="106" spans="1:12" hidden="1" x14ac:dyDescent="0.35">
      <c r="A106" s="8">
        <v>103</v>
      </c>
      <c r="B106" s="1" t="s">
        <v>237</v>
      </c>
      <c r="C106" s="1" t="s">
        <v>15</v>
      </c>
      <c r="D106" s="1" t="s">
        <v>37</v>
      </c>
      <c r="E106" s="17">
        <v>140</v>
      </c>
      <c r="F106" s="17">
        <v>31</v>
      </c>
      <c r="G106" s="17">
        <v>16</v>
      </c>
      <c r="H106" s="18">
        <f>G106-F106</f>
        <v>-15</v>
      </c>
      <c r="I106" s="19">
        <v>0</v>
      </c>
      <c r="J106" s="19">
        <v>12</v>
      </c>
      <c r="K106" s="19">
        <v>3</v>
      </c>
      <c r="L106" s="20">
        <f t="shared" si="1"/>
        <v>-9</v>
      </c>
    </row>
    <row r="107" spans="1:12" x14ac:dyDescent="0.35">
      <c r="A107" s="8">
        <v>104</v>
      </c>
      <c r="B107" s="1" t="s">
        <v>239</v>
      </c>
      <c r="C107" s="1" t="s">
        <v>15</v>
      </c>
      <c r="D107" s="1" t="s">
        <v>93</v>
      </c>
      <c r="E107" s="17">
        <v>137</v>
      </c>
      <c r="F107" s="17">
        <v>23</v>
      </c>
      <c r="G107" s="17">
        <v>40</v>
      </c>
      <c r="H107" s="18">
        <f>G107-F107</f>
        <v>17</v>
      </c>
      <c r="I107" s="19">
        <v>2</v>
      </c>
      <c r="J107" s="19">
        <v>5</v>
      </c>
      <c r="K107" s="19">
        <v>7</v>
      </c>
      <c r="L107" s="20">
        <f t="shared" si="1"/>
        <v>2</v>
      </c>
    </row>
    <row r="108" spans="1:12" hidden="1" x14ac:dyDescent="0.35">
      <c r="A108" s="8">
        <v>105</v>
      </c>
      <c r="B108" s="1" t="s">
        <v>241</v>
      </c>
      <c r="C108" s="1" t="s">
        <v>61</v>
      </c>
      <c r="D108" s="1" t="s">
        <v>34</v>
      </c>
      <c r="E108" s="17">
        <v>509</v>
      </c>
      <c r="F108" s="17">
        <v>158</v>
      </c>
      <c r="G108" s="17">
        <v>105</v>
      </c>
      <c r="H108" s="18">
        <f>G108-F108</f>
        <v>-53</v>
      </c>
      <c r="I108" s="19">
        <v>24</v>
      </c>
      <c r="J108" s="19">
        <v>27</v>
      </c>
      <c r="K108" s="19">
        <v>34</v>
      </c>
      <c r="L108" s="20">
        <f t="shared" si="1"/>
        <v>7</v>
      </c>
    </row>
    <row r="109" spans="1:12" hidden="1" x14ac:dyDescent="0.35">
      <c r="A109" s="8">
        <v>106</v>
      </c>
      <c r="B109" s="1" t="s">
        <v>243</v>
      </c>
      <c r="C109" s="1" t="s">
        <v>15</v>
      </c>
      <c r="D109" s="1" t="s">
        <v>34</v>
      </c>
      <c r="E109" s="17">
        <v>114</v>
      </c>
      <c r="F109" s="17">
        <v>7</v>
      </c>
      <c r="G109" s="17">
        <v>25</v>
      </c>
      <c r="H109" s="18">
        <f>G109-F109</f>
        <v>18</v>
      </c>
      <c r="I109" s="19">
        <v>6</v>
      </c>
      <c r="J109" s="19">
        <v>10</v>
      </c>
      <c r="K109" s="19">
        <v>8</v>
      </c>
      <c r="L109" s="20">
        <f t="shared" si="1"/>
        <v>-2</v>
      </c>
    </row>
    <row r="110" spans="1:12" hidden="1" x14ac:dyDescent="0.35">
      <c r="A110" s="8">
        <v>107</v>
      </c>
      <c r="B110" s="1" t="s">
        <v>245</v>
      </c>
      <c r="C110" s="1" t="s">
        <v>15</v>
      </c>
      <c r="D110" s="1" t="s">
        <v>51</v>
      </c>
      <c r="E110" s="17">
        <v>166</v>
      </c>
      <c r="F110" s="17">
        <v>38</v>
      </c>
      <c r="G110" s="17">
        <v>35</v>
      </c>
      <c r="H110" s="18">
        <f>G110-F110</f>
        <v>-3</v>
      </c>
      <c r="I110" s="19">
        <v>2</v>
      </c>
      <c r="J110" s="19">
        <v>21</v>
      </c>
      <c r="K110" s="19">
        <v>5</v>
      </c>
      <c r="L110" s="20">
        <f t="shared" si="1"/>
        <v>-16</v>
      </c>
    </row>
    <row r="111" spans="1:12" hidden="1" x14ac:dyDescent="0.35">
      <c r="A111" s="8">
        <v>108</v>
      </c>
      <c r="B111" s="1" t="s">
        <v>247</v>
      </c>
      <c r="C111" s="1" t="s">
        <v>15</v>
      </c>
      <c r="D111" s="1" t="s">
        <v>48</v>
      </c>
      <c r="E111" s="17">
        <v>152</v>
      </c>
      <c r="F111" s="17">
        <v>61</v>
      </c>
      <c r="G111" s="17">
        <v>20</v>
      </c>
      <c r="H111" s="18">
        <f>G111-F111</f>
        <v>-41</v>
      </c>
      <c r="I111" s="19">
        <v>4</v>
      </c>
      <c r="J111" s="19">
        <v>14</v>
      </c>
      <c r="K111" s="19">
        <v>16</v>
      </c>
      <c r="L111" s="20">
        <f t="shared" si="1"/>
        <v>2</v>
      </c>
    </row>
    <row r="112" spans="1:12" hidden="1" x14ac:dyDescent="0.35">
      <c r="A112" s="8">
        <v>109</v>
      </c>
      <c r="B112" s="1" t="s">
        <v>249</v>
      </c>
      <c r="C112" s="1" t="s">
        <v>15</v>
      </c>
      <c r="D112" s="1" t="s">
        <v>101</v>
      </c>
      <c r="E112" s="17">
        <v>117</v>
      </c>
      <c r="F112" s="17">
        <v>36</v>
      </c>
      <c r="G112" s="17">
        <v>23</v>
      </c>
      <c r="H112" s="18">
        <f>G112-F112</f>
        <v>-13</v>
      </c>
      <c r="I112" s="19">
        <v>7</v>
      </c>
      <c r="J112" s="19">
        <v>8</v>
      </c>
      <c r="K112" s="19">
        <v>9</v>
      </c>
      <c r="L112" s="20">
        <f t="shared" si="1"/>
        <v>1</v>
      </c>
    </row>
    <row r="113" spans="1:12" hidden="1" x14ac:dyDescent="0.35">
      <c r="A113" s="8">
        <v>110</v>
      </c>
      <c r="B113" s="1" t="s">
        <v>251</v>
      </c>
      <c r="C113" s="1" t="s">
        <v>15</v>
      </c>
      <c r="D113" s="1" t="s">
        <v>34</v>
      </c>
      <c r="E113" s="17">
        <v>107</v>
      </c>
      <c r="F113" s="17">
        <v>12</v>
      </c>
      <c r="G113" s="17">
        <v>21</v>
      </c>
      <c r="H113" s="18">
        <f>G113-F113</f>
        <v>9</v>
      </c>
      <c r="I113" s="19">
        <v>8</v>
      </c>
      <c r="J113" s="19">
        <v>8</v>
      </c>
      <c r="K113" s="19">
        <v>11</v>
      </c>
      <c r="L113" s="20">
        <f t="shared" si="1"/>
        <v>3</v>
      </c>
    </row>
    <row r="114" spans="1:12" hidden="1" x14ac:dyDescent="0.35">
      <c r="A114" s="8">
        <v>111</v>
      </c>
      <c r="B114" s="1" t="s">
        <v>253</v>
      </c>
      <c r="C114" s="1" t="s">
        <v>15</v>
      </c>
      <c r="D114" s="1" t="s">
        <v>37</v>
      </c>
      <c r="E114" s="17">
        <v>131</v>
      </c>
      <c r="F114" s="17">
        <v>81</v>
      </c>
      <c r="G114" s="17">
        <v>36</v>
      </c>
      <c r="H114" s="18">
        <f>G114-F114</f>
        <v>-45</v>
      </c>
      <c r="I114" s="19">
        <v>1</v>
      </c>
      <c r="J114" s="19">
        <v>31</v>
      </c>
      <c r="K114" s="19">
        <v>6</v>
      </c>
      <c r="L114" s="20">
        <f t="shared" si="1"/>
        <v>-25</v>
      </c>
    </row>
    <row r="115" spans="1:12" hidden="1" x14ac:dyDescent="0.35">
      <c r="A115" s="8">
        <v>112</v>
      </c>
      <c r="B115" s="1" t="s">
        <v>255</v>
      </c>
      <c r="C115" s="1" t="s">
        <v>15</v>
      </c>
      <c r="D115" s="1" t="s">
        <v>101</v>
      </c>
      <c r="E115" s="17">
        <v>164</v>
      </c>
      <c r="F115" s="17">
        <v>27</v>
      </c>
      <c r="G115" s="17">
        <v>13</v>
      </c>
      <c r="H115" s="18">
        <f>G115-F115</f>
        <v>-14</v>
      </c>
      <c r="I115" s="19">
        <v>2</v>
      </c>
      <c r="J115" s="19">
        <v>4</v>
      </c>
      <c r="K115" s="19">
        <v>2</v>
      </c>
      <c r="L115" s="20">
        <f t="shared" si="1"/>
        <v>-2</v>
      </c>
    </row>
    <row r="116" spans="1:12" hidden="1" x14ac:dyDescent="0.35">
      <c r="A116" s="8">
        <v>113</v>
      </c>
      <c r="B116" s="1" t="s">
        <v>257</v>
      </c>
      <c r="C116" s="1" t="s">
        <v>15</v>
      </c>
      <c r="D116" s="1" t="s">
        <v>48</v>
      </c>
      <c r="E116" s="17">
        <v>175</v>
      </c>
      <c r="F116" s="17">
        <v>50</v>
      </c>
      <c r="G116" s="17">
        <v>43</v>
      </c>
      <c r="H116" s="18">
        <f>G116-F116</f>
        <v>-7</v>
      </c>
      <c r="I116" s="19">
        <v>1</v>
      </c>
      <c r="J116" s="19">
        <v>8</v>
      </c>
      <c r="K116" s="19">
        <v>6</v>
      </c>
      <c r="L116" s="20">
        <f t="shared" si="1"/>
        <v>-2</v>
      </c>
    </row>
    <row r="117" spans="1:12" hidden="1" x14ac:dyDescent="0.35">
      <c r="A117" s="8">
        <v>114</v>
      </c>
      <c r="B117" s="1" t="s">
        <v>259</v>
      </c>
      <c r="C117" s="1" t="s">
        <v>15</v>
      </c>
      <c r="D117" s="1" t="s">
        <v>51</v>
      </c>
      <c r="E117" s="17">
        <v>124</v>
      </c>
      <c r="F117" s="17">
        <v>48</v>
      </c>
      <c r="G117" s="17">
        <v>46</v>
      </c>
      <c r="H117" s="18">
        <f>G117-F117</f>
        <v>-2</v>
      </c>
      <c r="I117" s="19">
        <v>7</v>
      </c>
      <c r="J117" s="19">
        <v>5</v>
      </c>
      <c r="K117" s="19">
        <v>13</v>
      </c>
      <c r="L117" s="20">
        <f t="shared" si="1"/>
        <v>8</v>
      </c>
    </row>
    <row r="118" spans="1:12" hidden="1" x14ac:dyDescent="0.35">
      <c r="A118" s="8">
        <v>115</v>
      </c>
      <c r="B118" s="1" t="s">
        <v>261</v>
      </c>
      <c r="C118" s="1" t="s">
        <v>15</v>
      </c>
      <c r="D118" s="1" t="s">
        <v>37</v>
      </c>
      <c r="E118" s="17">
        <v>140</v>
      </c>
      <c r="F118" s="17">
        <v>35</v>
      </c>
      <c r="G118" s="17">
        <v>26</v>
      </c>
      <c r="H118" s="18">
        <f>G118-F118</f>
        <v>-9</v>
      </c>
      <c r="I118" s="19">
        <v>2</v>
      </c>
      <c r="J118" s="19">
        <v>4</v>
      </c>
      <c r="K118" s="19">
        <v>9</v>
      </c>
      <c r="L118" s="20">
        <f t="shared" si="1"/>
        <v>5</v>
      </c>
    </row>
    <row r="119" spans="1:12" hidden="1" x14ac:dyDescent="0.35">
      <c r="A119" s="8">
        <v>116</v>
      </c>
      <c r="B119" s="1" t="s">
        <v>263</v>
      </c>
      <c r="C119" s="1" t="s">
        <v>15</v>
      </c>
      <c r="D119" s="1" t="s">
        <v>37</v>
      </c>
      <c r="E119" s="17">
        <v>197</v>
      </c>
      <c r="F119" s="17">
        <v>48</v>
      </c>
      <c r="G119" s="17">
        <v>33</v>
      </c>
      <c r="H119" s="18">
        <f>G119-F119</f>
        <v>-15</v>
      </c>
      <c r="I119" s="19">
        <v>1</v>
      </c>
      <c r="J119" s="19">
        <v>10</v>
      </c>
      <c r="K119" s="19">
        <v>4</v>
      </c>
      <c r="L119" s="20">
        <f t="shared" si="1"/>
        <v>-6</v>
      </c>
    </row>
    <row r="120" spans="1:12" hidden="1" x14ac:dyDescent="0.35">
      <c r="A120" s="8">
        <v>117</v>
      </c>
      <c r="B120" s="1" t="s">
        <v>265</v>
      </c>
      <c r="C120" s="1" t="s">
        <v>15</v>
      </c>
      <c r="D120" s="1" t="s">
        <v>21</v>
      </c>
      <c r="E120" s="17">
        <v>164</v>
      </c>
      <c r="F120" s="17">
        <v>9</v>
      </c>
      <c r="G120" s="17">
        <v>20</v>
      </c>
      <c r="H120" s="18">
        <f>G120-F120</f>
        <v>11</v>
      </c>
      <c r="I120" s="19">
        <v>0</v>
      </c>
      <c r="J120" s="19">
        <v>0</v>
      </c>
      <c r="K120" s="19">
        <v>0</v>
      </c>
      <c r="L120" s="20">
        <f t="shared" si="1"/>
        <v>0</v>
      </c>
    </row>
    <row r="121" spans="1:12" hidden="1" x14ac:dyDescent="0.35">
      <c r="A121" s="8">
        <v>118</v>
      </c>
      <c r="B121" s="1" t="s">
        <v>267</v>
      </c>
      <c r="C121" s="1" t="s">
        <v>15</v>
      </c>
      <c r="D121" s="1" t="s">
        <v>37</v>
      </c>
      <c r="E121" s="17">
        <v>101</v>
      </c>
      <c r="F121" s="17">
        <v>18</v>
      </c>
      <c r="G121" s="17">
        <v>17</v>
      </c>
      <c r="H121" s="18">
        <f>G121-F121</f>
        <v>-1</v>
      </c>
      <c r="I121" s="19">
        <v>28</v>
      </c>
      <c r="J121" s="19">
        <v>48</v>
      </c>
      <c r="K121" s="19">
        <v>51</v>
      </c>
      <c r="L121" s="20">
        <f t="shared" si="1"/>
        <v>3</v>
      </c>
    </row>
    <row r="122" spans="1:12" hidden="1" x14ac:dyDescent="0.35">
      <c r="A122" s="8">
        <v>119</v>
      </c>
      <c r="B122" s="1" t="s">
        <v>269</v>
      </c>
      <c r="C122" s="1" t="s">
        <v>15</v>
      </c>
      <c r="D122" s="1" t="s">
        <v>88</v>
      </c>
      <c r="E122" s="17">
        <v>74</v>
      </c>
      <c r="F122" s="17">
        <v>17</v>
      </c>
      <c r="G122" s="17">
        <v>33</v>
      </c>
      <c r="H122" s="18">
        <f>G122-F122</f>
        <v>16</v>
      </c>
      <c r="I122" s="19">
        <v>1</v>
      </c>
      <c r="J122" s="19">
        <v>11</v>
      </c>
      <c r="K122" s="19">
        <v>1</v>
      </c>
      <c r="L122" s="20">
        <f t="shared" si="1"/>
        <v>-10</v>
      </c>
    </row>
    <row r="123" spans="1:12" hidden="1" x14ac:dyDescent="0.35">
      <c r="A123" s="8">
        <v>120</v>
      </c>
      <c r="B123" s="1" t="s">
        <v>271</v>
      </c>
      <c r="C123" s="1" t="s">
        <v>15</v>
      </c>
      <c r="D123" s="1" t="s">
        <v>16</v>
      </c>
      <c r="E123" s="17">
        <v>103</v>
      </c>
      <c r="F123" s="17">
        <v>74</v>
      </c>
      <c r="G123" s="17">
        <v>16</v>
      </c>
      <c r="H123" s="18">
        <f>G123-F123</f>
        <v>-58</v>
      </c>
      <c r="I123" s="19">
        <v>0</v>
      </c>
      <c r="J123" s="19">
        <v>10</v>
      </c>
      <c r="K123" s="19">
        <v>5</v>
      </c>
      <c r="L123" s="20">
        <f t="shared" si="1"/>
        <v>-5</v>
      </c>
    </row>
    <row r="124" spans="1:12" hidden="1" x14ac:dyDescent="0.35">
      <c r="A124" s="8">
        <v>121</v>
      </c>
      <c r="B124" s="1" t="s">
        <v>273</v>
      </c>
      <c r="C124" s="1" t="s">
        <v>15</v>
      </c>
      <c r="D124" s="1" t="s">
        <v>48</v>
      </c>
      <c r="E124" s="17">
        <v>182</v>
      </c>
      <c r="F124" s="17">
        <v>62</v>
      </c>
      <c r="G124" s="17">
        <v>24</v>
      </c>
      <c r="H124" s="18">
        <f>G124-F124</f>
        <v>-38</v>
      </c>
      <c r="I124" s="19">
        <v>9</v>
      </c>
      <c r="J124" s="19">
        <v>6</v>
      </c>
      <c r="K124" s="19">
        <v>10</v>
      </c>
      <c r="L124" s="20">
        <f t="shared" si="1"/>
        <v>4</v>
      </c>
    </row>
    <row r="125" spans="1:12" hidden="1" x14ac:dyDescent="0.35">
      <c r="A125" s="8">
        <v>122</v>
      </c>
      <c r="B125" s="1" t="s">
        <v>275</v>
      </c>
      <c r="C125" s="1" t="s">
        <v>15</v>
      </c>
      <c r="D125" s="1" t="s">
        <v>51</v>
      </c>
      <c r="E125" s="17">
        <v>163</v>
      </c>
      <c r="F125" s="17">
        <v>18</v>
      </c>
      <c r="G125" s="17">
        <v>29</v>
      </c>
      <c r="H125" s="18">
        <f>G125-F125</f>
        <v>11</v>
      </c>
      <c r="I125" s="19">
        <v>12</v>
      </c>
      <c r="J125" s="19">
        <v>15</v>
      </c>
      <c r="K125" s="19">
        <v>39</v>
      </c>
      <c r="L125" s="20">
        <f t="shared" si="1"/>
        <v>24</v>
      </c>
    </row>
    <row r="126" spans="1:12" hidden="1" x14ac:dyDescent="0.35">
      <c r="A126" s="8">
        <v>123</v>
      </c>
      <c r="B126" s="1" t="s">
        <v>277</v>
      </c>
      <c r="C126" s="1" t="s">
        <v>15</v>
      </c>
      <c r="D126" s="1" t="s">
        <v>58</v>
      </c>
      <c r="E126" s="17">
        <v>200</v>
      </c>
      <c r="F126" s="17">
        <v>29</v>
      </c>
      <c r="G126" s="17">
        <v>78</v>
      </c>
      <c r="H126" s="18">
        <f>G126-F126</f>
        <v>49</v>
      </c>
      <c r="I126" s="19">
        <v>3</v>
      </c>
      <c r="J126" s="19">
        <v>12</v>
      </c>
      <c r="K126" s="19">
        <v>6</v>
      </c>
      <c r="L126" s="20">
        <f t="shared" si="1"/>
        <v>-6</v>
      </c>
    </row>
    <row r="127" spans="1:12" hidden="1" x14ac:dyDescent="0.35">
      <c r="A127" s="8">
        <v>124</v>
      </c>
      <c r="B127" s="1" t="s">
        <v>279</v>
      </c>
      <c r="C127" s="1" t="s">
        <v>61</v>
      </c>
      <c r="D127" s="1" t="s">
        <v>68</v>
      </c>
      <c r="E127" s="17">
        <v>999</v>
      </c>
      <c r="F127" s="17">
        <v>204</v>
      </c>
      <c r="G127" s="17">
        <v>206</v>
      </c>
      <c r="H127" s="18">
        <f>G127-F127</f>
        <v>2</v>
      </c>
      <c r="I127" s="19">
        <v>44</v>
      </c>
      <c r="J127" s="19">
        <v>119</v>
      </c>
      <c r="K127" s="19">
        <v>72</v>
      </c>
      <c r="L127" s="20">
        <f t="shared" si="1"/>
        <v>-47</v>
      </c>
    </row>
    <row r="128" spans="1:12" hidden="1" x14ac:dyDescent="0.35">
      <c r="A128" s="8">
        <v>125</v>
      </c>
      <c r="B128" s="1" t="s">
        <v>281</v>
      </c>
      <c r="C128" s="1" t="s">
        <v>15</v>
      </c>
      <c r="D128" s="1" t="s">
        <v>96</v>
      </c>
      <c r="E128" s="17">
        <v>126</v>
      </c>
      <c r="F128" s="17">
        <v>26</v>
      </c>
      <c r="G128" s="17">
        <v>54</v>
      </c>
      <c r="H128" s="18">
        <f>G128-F128</f>
        <v>28</v>
      </c>
      <c r="I128" s="19">
        <v>1</v>
      </c>
      <c r="J128" s="19">
        <v>4</v>
      </c>
      <c r="K128" s="19">
        <v>5</v>
      </c>
      <c r="L128" s="20">
        <f t="shared" si="1"/>
        <v>1</v>
      </c>
    </row>
    <row r="129" spans="1:12" hidden="1" x14ac:dyDescent="0.35">
      <c r="A129" s="8">
        <v>126</v>
      </c>
      <c r="B129" s="1" t="s">
        <v>283</v>
      </c>
      <c r="C129" s="1" t="s">
        <v>15</v>
      </c>
      <c r="D129" s="1" t="s">
        <v>37</v>
      </c>
      <c r="E129" s="17">
        <v>300</v>
      </c>
      <c r="F129" s="17">
        <v>56</v>
      </c>
      <c r="G129" s="17">
        <v>66</v>
      </c>
      <c r="H129" s="18">
        <f>G129-F129</f>
        <v>10</v>
      </c>
      <c r="I129" s="19">
        <v>12</v>
      </c>
      <c r="J129" s="19">
        <v>14</v>
      </c>
      <c r="K129" s="19">
        <v>18</v>
      </c>
      <c r="L129" s="20">
        <f t="shared" si="1"/>
        <v>4</v>
      </c>
    </row>
    <row r="130" spans="1:12" hidden="1" x14ac:dyDescent="0.35">
      <c r="A130" s="8">
        <v>127</v>
      </c>
      <c r="B130" s="1" t="s">
        <v>285</v>
      </c>
      <c r="C130" s="1" t="s">
        <v>15</v>
      </c>
      <c r="D130" s="1" t="s">
        <v>16</v>
      </c>
      <c r="E130" s="17">
        <v>79</v>
      </c>
      <c r="F130" s="17">
        <v>60</v>
      </c>
      <c r="G130" s="17">
        <v>44</v>
      </c>
      <c r="H130" s="18">
        <f>G130-F130</f>
        <v>-16</v>
      </c>
      <c r="I130" s="19">
        <v>4</v>
      </c>
      <c r="J130" s="19">
        <v>17</v>
      </c>
      <c r="K130" s="19">
        <v>8</v>
      </c>
      <c r="L130" s="20">
        <f t="shared" si="1"/>
        <v>-9</v>
      </c>
    </row>
    <row r="131" spans="1:12" hidden="1" x14ac:dyDescent="0.35">
      <c r="A131" s="8">
        <v>128</v>
      </c>
      <c r="B131" s="1" t="s">
        <v>287</v>
      </c>
      <c r="C131" s="1" t="s">
        <v>15</v>
      </c>
      <c r="D131" s="1" t="s">
        <v>68</v>
      </c>
      <c r="E131" s="17">
        <v>123</v>
      </c>
      <c r="F131" s="17">
        <v>27</v>
      </c>
      <c r="G131" s="17">
        <v>21</v>
      </c>
      <c r="H131" s="18">
        <f>G131-F131</f>
        <v>-6</v>
      </c>
      <c r="I131" s="19">
        <v>10</v>
      </c>
      <c r="J131" s="19">
        <v>4</v>
      </c>
      <c r="K131" s="19">
        <v>11</v>
      </c>
      <c r="L131" s="20">
        <f t="shared" si="1"/>
        <v>7</v>
      </c>
    </row>
    <row r="132" spans="1:12" hidden="1" x14ac:dyDescent="0.35">
      <c r="A132" s="8">
        <v>129</v>
      </c>
      <c r="B132" s="1" t="s">
        <v>289</v>
      </c>
      <c r="C132" s="1" t="s">
        <v>15</v>
      </c>
      <c r="D132" s="1" t="s">
        <v>51</v>
      </c>
      <c r="E132" s="17">
        <v>151</v>
      </c>
      <c r="F132" s="17">
        <v>79</v>
      </c>
      <c r="G132" s="17">
        <v>17</v>
      </c>
      <c r="H132" s="18">
        <f>G132-F132</f>
        <v>-62</v>
      </c>
      <c r="I132" s="19">
        <v>1</v>
      </c>
      <c r="J132" s="19">
        <v>9</v>
      </c>
      <c r="K132" s="19">
        <v>7</v>
      </c>
      <c r="L132" s="20">
        <f t="shared" si="1"/>
        <v>-2</v>
      </c>
    </row>
    <row r="133" spans="1:12" hidden="1" x14ac:dyDescent="0.35">
      <c r="A133" s="8">
        <v>130</v>
      </c>
      <c r="B133" s="1" t="s">
        <v>291</v>
      </c>
      <c r="C133" s="1" t="s">
        <v>15</v>
      </c>
      <c r="D133" s="1" t="s">
        <v>37</v>
      </c>
      <c r="E133" s="17">
        <v>130</v>
      </c>
      <c r="F133" s="17">
        <v>16</v>
      </c>
      <c r="G133" s="17">
        <v>58</v>
      </c>
      <c r="H133" s="18">
        <f>G133-F133</f>
        <v>42</v>
      </c>
      <c r="I133" s="19">
        <v>1</v>
      </c>
      <c r="J133" s="19">
        <v>2</v>
      </c>
      <c r="K133" s="19">
        <v>5</v>
      </c>
      <c r="L133" s="20">
        <f t="shared" ref="L133:L158" si="2">K133-J133</f>
        <v>3</v>
      </c>
    </row>
    <row r="134" spans="1:12" hidden="1" x14ac:dyDescent="0.35">
      <c r="A134" s="8">
        <v>131</v>
      </c>
      <c r="B134" s="1" t="s">
        <v>293</v>
      </c>
      <c r="C134" s="1" t="s">
        <v>15</v>
      </c>
      <c r="D134" s="1" t="s">
        <v>58</v>
      </c>
      <c r="E134" s="17">
        <v>211</v>
      </c>
      <c r="F134" s="17">
        <v>62</v>
      </c>
      <c r="G134" s="17">
        <v>32</v>
      </c>
      <c r="H134" s="18">
        <f>G134-F134</f>
        <v>-30</v>
      </c>
      <c r="I134" s="19">
        <v>3</v>
      </c>
      <c r="J134" s="19">
        <v>28</v>
      </c>
      <c r="K134" s="19">
        <v>3</v>
      </c>
      <c r="L134" s="20">
        <f t="shared" si="2"/>
        <v>-25</v>
      </c>
    </row>
    <row r="135" spans="1:12" hidden="1" x14ac:dyDescent="0.35">
      <c r="A135" s="8">
        <v>132</v>
      </c>
      <c r="B135" s="1" t="s">
        <v>295</v>
      </c>
      <c r="C135" s="1" t="s">
        <v>15</v>
      </c>
      <c r="D135" s="1" t="s">
        <v>29</v>
      </c>
      <c r="E135" s="17">
        <v>108</v>
      </c>
      <c r="F135" s="17">
        <v>17</v>
      </c>
      <c r="G135" s="17">
        <v>52</v>
      </c>
      <c r="H135" s="18">
        <f>G135-F135</f>
        <v>35</v>
      </c>
      <c r="I135" s="19">
        <v>4</v>
      </c>
      <c r="J135" s="19">
        <v>9</v>
      </c>
      <c r="K135" s="19">
        <v>9</v>
      </c>
      <c r="L135" s="20">
        <f t="shared" si="2"/>
        <v>0</v>
      </c>
    </row>
    <row r="136" spans="1:12" hidden="1" x14ac:dyDescent="0.35">
      <c r="A136" s="8">
        <v>133</v>
      </c>
      <c r="B136" s="1" t="s">
        <v>297</v>
      </c>
      <c r="C136" s="1" t="s">
        <v>61</v>
      </c>
      <c r="D136" s="1" t="s">
        <v>299</v>
      </c>
      <c r="E136" s="17">
        <v>853</v>
      </c>
      <c r="F136" s="17">
        <v>100</v>
      </c>
      <c r="G136" s="17">
        <v>201</v>
      </c>
      <c r="H136" s="18">
        <f>G136-F136</f>
        <v>101</v>
      </c>
      <c r="I136" s="19">
        <v>41</v>
      </c>
      <c r="J136" s="19">
        <v>79</v>
      </c>
      <c r="K136" s="19">
        <v>80</v>
      </c>
      <c r="L136" s="20">
        <f t="shared" si="2"/>
        <v>1</v>
      </c>
    </row>
    <row r="137" spans="1:12" hidden="1" x14ac:dyDescent="0.35">
      <c r="A137" s="8">
        <v>134</v>
      </c>
      <c r="B137" s="1" t="s">
        <v>300</v>
      </c>
      <c r="C137" s="1" t="s">
        <v>15</v>
      </c>
      <c r="D137" s="1" t="s">
        <v>29</v>
      </c>
      <c r="E137" s="17">
        <v>92</v>
      </c>
      <c r="F137" s="17">
        <v>22</v>
      </c>
      <c r="G137" s="17">
        <v>26</v>
      </c>
      <c r="H137" s="18">
        <f>G137-F137</f>
        <v>4</v>
      </c>
      <c r="I137" s="19">
        <v>7</v>
      </c>
      <c r="J137" s="19">
        <v>7</v>
      </c>
      <c r="K137" s="19">
        <v>12</v>
      </c>
      <c r="L137" s="20">
        <f t="shared" si="2"/>
        <v>5</v>
      </c>
    </row>
    <row r="138" spans="1:12" hidden="1" x14ac:dyDescent="0.35">
      <c r="A138" s="8">
        <v>135</v>
      </c>
      <c r="B138" s="1" t="s">
        <v>302</v>
      </c>
      <c r="C138" s="1" t="s">
        <v>15</v>
      </c>
      <c r="D138" s="1" t="s">
        <v>37</v>
      </c>
      <c r="E138" s="17">
        <v>170</v>
      </c>
      <c r="F138" s="17">
        <v>29</v>
      </c>
      <c r="G138" s="17">
        <v>66</v>
      </c>
      <c r="H138" s="18">
        <f>G138-F138</f>
        <v>37</v>
      </c>
      <c r="I138" s="19">
        <v>16</v>
      </c>
      <c r="J138" s="19">
        <v>38</v>
      </c>
      <c r="K138" s="19">
        <v>61</v>
      </c>
      <c r="L138" s="20">
        <f t="shared" si="2"/>
        <v>23</v>
      </c>
    </row>
    <row r="139" spans="1:12" hidden="1" x14ac:dyDescent="0.35">
      <c r="A139" s="8">
        <v>136</v>
      </c>
      <c r="B139" s="1" t="s">
        <v>304</v>
      </c>
      <c r="C139" s="1" t="s">
        <v>15</v>
      </c>
      <c r="D139" s="1" t="s">
        <v>68</v>
      </c>
      <c r="E139" s="17">
        <v>139</v>
      </c>
      <c r="F139" s="17">
        <v>35</v>
      </c>
      <c r="G139" s="17">
        <v>46</v>
      </c>
      <c r="H139" s="18">
        <f>G139-F139</f>
        <v>11</v>
      </c>
      <c r="I139" s="19">
        <v>1</v>
      </c>
      <c r="J139" s="19">
        <v>11</v>
      </c>
      <c r="K139" s="19">
        <v>4</v>
      </c>
      <c r="L139" s="20">
        <f t="shared" si="2"/>
        <v>-7</v>
      </c>
    </row>
    <row r="140" spans="1:12" hidden="1" x14ac:dyDescent="0.35">
      <c r="A140" s="8">
        <v>137</v>
      </c>
      <c r="B140" s="1" t="s">
        <v>306</v>
      </c>
      <c r="C140" s="1" t="s">
        <v>15</v>
      </c>
      <c r="D140" s="1" t="s">
        <v>26</v>
      </c>
      <c r="E140" s="17">
        <v>89</v>
      </c>
      <c r="F140" s="17">
        <v>41</v>
      </c>
      <c r="G140" s="17">
        <v>13</v>
      </c>
      <c r="H140" s="18">
        <f>G140-F140</f>
        <v>-28</v>
      </c>
      <c r="I140" s="19">
        <v>1</v>
      </c>
      <c r="J140" s="19">
        <v>19</v>
      </c>
      <c r="K140" s="19">
        <v>1</v>
      </c>
      <c r="L140" s="20">
        <f t="shared" si="2"/>
        <v>-18</v>
      </c>
    </row>
    <row r="141" spans="1:12" hidden="1" x14ac:dyDescent="0.35">
      <c r="A141" s="8">
        <v>138</v>
      </c>
      <c r="B141" s="1" t="s">
        <v>308</v>
      </c>
      <c r="C141" s="1" t="s">
        <v>15</v>
      </c>
      <c r="D141" s="1" t="s">
        <v>34</v>
      </c>
      <c r="E141" s="17">
        <v>111</v>
      </c>
      <c r="F141" s="17">
        <v>9</v>
      </c>
      <c r="G141" s="17">
        <v>31</v>
      </c>
      <c r="H141" s="18">
        <f>G141-F141</f>
        <v>22</v>
      </c>
      <c r="I141" s="19">
        <v>2</v>
      </c>
      <c r="J141" s="19">
        <v>9</v>
      </c>
      <c r="K141" s="19">
        <v>4</v>
      </c>
      <c r="L141" s="20">
        <f t="shared" si="2"/>
        <v>-5</v>
      </c>
    </row>
    <row r="142" spans="1:12" hidden="1" x14ac:dyDescent="0.35">
      <c r="A142" s="8">
        <v>139</v>
      </c>
      <c r="B142" s="1" t="s">
        <v>310</v>
      </c>
      <c r="C142" s="1" t="s">
        <v>15</v>
      </c>
      <c r="D142" s="1" t="s">
        <v>16</v>
      </c>
      <c r="E142" s="17">
        <v>138</v>
      </c>
      <c r="F142" s="17">
        <v>28</v>
      </c>
      <c r="G142" s="17">
        <v>72</v>
      </c>
      <c r="H142" s="18">
        <f>G142-F142</f>
        <v>44</v>
      </c>
      <c r="I142" s="19">
        <v>1</v>
      </c>
      <c r="J142" s="19">
        <v>4</v>
      </c>
      <c r="K142" s="19">
        <v>4</v>
      </c>
      <c r="L142" s="20">
        <f t="shared" si="2"/>
        <v>0</v>
      </c>
    </row>
    <row r="143" spans="1:12" hidden="1" x14ac:dyDescent="0.35">
      <c r="A143" s="8">
        <v>140</v>
      </c>
      <c r="B143" s="1" t="s">
        <v>312</v>
      </c>
      <c r="C143" s="1" t="s">
        <v>15</v>
      </c>
      <c r="D143" s="1" t="s">
        <v>48</v>
      </c>
      <c r="E143" s="17">
        <v>124</v>
      </c>
      <c r="F143" s="17">
        <v>34</v>
      </c>
      <c r="G143" s="17">
        <v>35</v>
      </c>
      <c r="H143" s="18">
        <f>G143-F143</f>
        <v>1</v>
      </c>
      <c r="I143" s="19">
        <v>3</v>
      </c>
      <c r="J143" s="19">
        <v>4</v>
      </c>
      <c r="K143" s="19">
        <v>14</v>
      </c>
      <c r="L143" s="20">
        <f t="shared" si="2"/>
        <v>10</v>
      </c>
    </row>
    <row r="144" spans="1:12" hidden="1" x14ac:dyDescent="0.35">
      <c r="A144" s="8">
        <v>141</v>
      </c>
      <c r="B144" s="1" t="s">
        <v>314</v>
      </c>
      <c r="C144" s="1" t="s">
        <v>15</v>
      </c>
      <c r="D144" s="1" t="s">
        <v>58</v>
      </c>
      <c r="E144" s="17">
        <v>151</v>
      </c>
      <c r="F144" s="17">
        <v>29</v>
      </c>
      <c r="G144" s="17">
        <v>27</v>
      </c>
      <c r="H144" s="18">
        <f>G144-F144</f>
        <v>-2</v>
      </c>
      <c r="I144" s="19">
        <v>12</v>
      </c>
      <c r="J144" s="19">
        <v>7</v>
      </c>
      <c r="K144" s="19">
        <v>17</v>
      </c>
      <c r="L144" s="20">
        <f t="shared" si="2"/>
        <v>10</v>
      </c>
    </row>
    <row r="145" spans="1:12" hidden="1" x14ac:dyDescent="0.35">
      <c r="A145" s="8">
        <v>142</v>
      </c>
      <c r="B145" s="1" t="s">
        <v>316</v>
      </c>
      <c r="C145" s="1" t="s">
        <v>15</v>
      </c>
      <c r="D145" s="1" t="s">
        <v>51</v>
      </c>
      <c r="E145" s="17">
        <v>154</v>
      </c>
      <c r="F145" s="17">
        <v>12</v>
      </c>
      <c r="G145" s="17">
        <v>21</v>
      </c>
      <c r="H145" s="18">
        <f>G145-F145</f>
        <v>9</v>
      </c>
      <c r="I145" s="19">
        <v>3</v>
      </c>
      <c r="J145" s="19">
        <v>10</v>
      </c>
      <c r="K145" s="19">
        <v>8</v>
      </c>
      <c r="L145" s="20">
        <f t="shared" si="2"/>
        <v>-2</v>
      </c>
    </row>
    <row r="146" spans="1:12" x14ac:dyDescent="0.35">
      <c r="A146" s="8">
        <v>143</v>
      </c>
      <c r="B146" s="1" t="s">
        <v>318</v>
      </c>
      <c r="C146" s="1" t="s">
        <v>15</v>
      </c>
      <c r="D146" s="1" t="s">
        <v>93</v>
      </c>
      <c r="E146" s="17">
        <v>156</v>
      </c>
      <c r="F146" s="17">
        <v>80</v>
      </c>
      <c r="G146" s="17">
        <v>23</v>
      </c>
      <c r="H146" s="18">
        <f>G146-F146</f>
        <v>-57</v>
      </c>
      <c r="I146" s="19">
        <v>6</v>
      </c>
      <c r="J146" s="19">
        <v>18</v>
      </c>
      <c r="K146" s="19">
        <v>16</v>
      </c>
      <c r="L146" s="20">
        <f t="shared" si="2"/>
        <v>-2</v>
      </c>
    </row>
    <row r="147" spans="1:12" hidden="1" x14ac:dyDescent="0.35">
      <c r="A147" s="8">
        <v>144</v>
      </c>
      <c r="B147" s="1" t="s">
        <v>320</v>
      </c>
      <c r="C147" s="1" t="s">
        <v>15</v>
      </c>
      <c r="D147" s="1" t="s">
        <v>48</v>
      </c>
      <c r="E147" s="17">
        <v>186</v>
      </c>
      <c r="F147" s="17">
        <v>60</v>
      </c>
      <c r="G147" s="17">
        <v>32</v>
      </c>
      <c r="H147" s="18">
        <f>G147-F147</f>
        <v>-28</v>
      </c>
      <c r="I147" s="19">
        <v>4</v>
      </c>
      <c r="J147" s="19">
        <v>9</v>
      </c>
      <c r="K147" s="19">
        <v>8</v>
      </c>
      <c r="L147" s="20">
        <f t="shared" si="2"/>
        <v>-1</v>
      </c>
    </row>
    <row r="148" spans="1:12" hidden="1" x14ac:dyDescent="0.35">
      <c r="A148" s="8">
        <v>145</v>
      </c>
      <c r="B148" s="1" t="s">
        <v>322</v>
      </c>
      <c r="C148" s="1" t="s">
        <v>15</v>
      </c>
      <c r="D148" s="1" t="s">
        <v>58</v>
      </c>
      <c r="E148" s="17">
        <v>139</v>
      </c>
      <c r="F148" s="17">
        <v>35</v>
      </c>
      <c r="G148" s="17">
        <v>18</v>
      </c>
      <c r="H148" s="18">
        <f>G148-F148</f>
        <v>-17</v>
      </c>
      <c r="I148" s="19">
        <v>5</v>
      </c>
      <c r="J148" s="19">
        <v>6</v>
      </c>
      <c r="K148" s="19">
        <v>5</v>
      </c>
      <c r="L148" s="20">
        <f t="shared" si="2"/>
        <v>-1</v>
      </c>
    </row>
    <row r="149" spans="1:12" hidden="1" x14ac:dyDescent="0.35">
      <c r="A149" s="8">
        <v>146</v>
      </c>
      <c r="B149" s="1" t="s">
        <v>324</v>
      </c>
      <c r="C149" s="1" t="s">
        <v>61</v>
      </c>
      <c r="D149" s="1" t="s">
        <v>16</v>
      </c>
      <c r="E149" s="17">
        <v>553</v>
      </c>
      <c r="F149" s="17">
        <v>405</v>
      </c>
      <c r="G149" s="17">
        <v>148</v>
      </c>
      <c r="H149" s="18">
        <f>G149-F149</f>
        <v>-257</v>
      </c>
      <c r="I149" s="19">
        <v>22</v>
      </c>
      <c r="J149" s="19">
        <v>81</v>
      </c>
      <c r="K149" s="19">
        <v>40</v>
      </c>
      <c r="L149" s="20">
        <f t="shared" si="2"/>
        <v>-41</v>
      </c>
    </row>
    <row r="150" spans="1:12" hidden="1" x14ac:dyDescent="0.35">
      <c r="A150" s="8">
        <v>147</v>
      </c>
      <c r="B150" s="1" t="s">
        <v>326</v>
      </c>
      <c r="C150" s="1" t="s">
        <v>15</v>
      </c>
      <c r="D150" s="1" t="s">
        <v>34</v>
      </c>
      <c r="E150" s="17">
        <v>90</v>
      </c>
      <c r="F150" s="17">
        <v>23</v>
      </c>
      <c r="G150" s="17">
        <v>39</v>
      </c>
      <c r="H150" s="18">
        <f>G150-F150</f>
        <v>16</v>
      </c>
      <c r="I150" s="19">
        <v>3</v>
      </c>
      <c r="J150" s="19">
        <v>3</v>
      </c>
      <c r="K150" s="19">
        <v>5</v>
      </c>
      <c r="L150" s="20">
        <f t="shared" si="2"/>
        <v>2</v>
      </c>
    </row>
    <row r="151" spans="1:12" hidden="1" x14ac:dyDescent="0.35">
      <c r="A151" s="8">
        <v>148</v>
      </c>
      <c r="B151" s="1" t="s">
        <v>328</v>
      </c>
      <c r="C151" s="1" t="s">
        <v>61</v>
      </c>
      <c r="D151" s="1" t="s">
        <v>37</v>
      </c>
      <c r="E151" s="17">
        <v>1095</v>
      </c>
      <c r="F151" s="17">
        <v>250</v>
      </c>
      <c r="G151" s="17">
        <v>259</v>
      </c>
      <c r="H151" s="18">
        <f>G151-F151</f>
        <v>9</v>
      </c>
      <c r="I151" s="19">
        <v>39</v>
      </c>
      <c r="J151" s="19">
        <v>109</v>
      </c>
      <c r="K151" s="19">
        <v>100</v>
      </c>
      <c r="L151" s="20">
        <f t="shared" si="2"/>
        <v>-9</v>
      </c>
    </row>
    <row r="152" spans="1:12" hidden="1" x14ac:dyDescent="0.35">
      <c r="A152" s="8">
        <v>149</v>
      </c>
      <c r="B152" s="1" t="s">
        <v>330</v>
      </c>
      <c r="C152" s="1" t="s">
        <v>15</v>
      </c>
      <c r="D152" s="1" t="s">
        <v>34</v>
      </c>
      <c r="E152" s="17">
        <v>104</v>
      </c>
      <c r="F152" s="17">
        <v>20</v>
      </c>
      <c r="G152" s="17">
        <v>21</v>
      </c>
      <c r="H152" s="18">
        <f>G152-F152</f>
        <v>1</v>
      </c>
      <c r="I152" s="19">
        <v>2</v>
      </c>
      <c r="J152" s="19">
        <v>4</v>
      </c>
      <c r="K152" s="19">
        <v>2</v>
      </c>
      <c r="L152" s="20">
        <f t="shared" si="2"/>
        <v>-2</v>
      </c>
    </row>
    <row r="153" spans="1:12" hidden="1" x14ac:dyDescent="0.35">
      <c r="A153" s="8">
        <v>150</v>
      </c>
      <c r="B153" s="1" t="s">
        <v>332</v>
      </c>
      <c r="C153" s="1" t="s">
        <v>15</v>
      </c>
      <c r="D153" s="1" t="s">
        <v>58</v>
      </c>
      <c r="E153" s="17">
        <v>167</v>
      </c>
      <c r="F153" s="17">
        <v>44</v>
      </c>
      <c r="G153" s="17">
        <v>13</v>
      </c>
      <c r="H153" s="18">
        <f>G153-F153</f>
        <v>-31</v>
      </c>
      <c r="I153" s="19">
        <v>4</v>
      </c>
      <c r="J153" s="19">
        <v>14</v>
      </c>
      <c r="K153" s="19">
        <v>4</v>
      </c>
      <c r="L153" s="20">
        <f t="shared" si="2"/>
        <v>-10</v>
      </c>
    </row>
    <row r="154" spans="1:12" hidden="1" x14ac:dyDescent="0.35">
      <c r="A154" s="8">
        <v>151</v>
      </c>
      <c r="B154" s="1" t="s">
        <v>334</v>
      </c>
      <c r="C154" s="1" t="s">
        <v>15</v>
      </c>
      <c r="D154" s="1" t="s">
        <v>16</v>
      </c>
      <c r="E154" s="17">
        <v>149</v>
      </c>
      <c r="F154" s="17">
        <v>27</v>
      </c>
      <c r="G154" s="17">
        <v>8</v>
      </c>
      <c r="H154" s="18">
        <f>G154-F154</f>
        <v>-19</v>
      </c>
      <c r="I154" s="19">
        <v>4</v>
      </c>
      <c r="J154" s="19">
        <v>6</v>
      </c>
      <c r="K154" s="19">
        <v>7</v>
      </c>
      <c r="L154" s="20">
        <f t="shared" si="2"/>
        <v>1</v>
      </c>
    </row>
    <row r="155" spans="1:12" hidden="1" x14ac:dyDescent="0.35">
      <c r="A155" s="8">
        <v>152</v>
      </c>
      <c r="B155" s="1" t="s">
        <v>336</v>
      </c>
      <c r="C155" s="1" t="s">
        <v>61</v>
      </c>
      <c r="D155" s="1" t="s">
        <v>101</v>
      </c>
      <c r="E155" s="17">
        <v>759</v>
      </c>
      <c r="F155" s="17">
        <v>193</v>
      </c>
      <c r="G155" s="17">
        <v>63</v>
      </c>
      <c r="H155" s="18">
        <f>G155-F155</f>
        <v>-130</v>
      </c>
      <c r="I155" s="19">
        <v>28</v>
      </c>
      <c r="J155" s="19">
        <v>49</v>
      </c>
      <c r="K155" s="19">
        <v>34</v>
      </c>
      <c r="L155" s="20">
        <f t="shared" si="2"/>
        <v>-15</v>
      </c>
    </row>
    <row r="156" spans="1:12" hidden="1" x14ac:dyDescent="0.35">
      <c r="A156" s="8">
        <v>153</v>
      </c>
      <c r="B156" s="1" t="s">
        <v>338</v>
      </c>
      <c r="C156" s="1" t="s">
        <v>15</v>
      </c>
      <c r="D156" s="1" t="s">
        <v>29</v>
      </c>
      <c r="E156" s="17">
        <v>116</v>
      </c>
      <c r="F156" s="17">
        <v>40</v>
      </c>
      <c r="G156" s="17">
        <v>25</v>
      </c>
      <c r="H156" s="18">
        <f>G156-F156</f>
        <v>-15</v>
      </c>
      <c r="I156" s="19">
        <v>2</v>
      </c>
      <c r="J156" s="19">
        <v>7</v>
      </c>
      <c r="K156" s="19">
        <v>9</v>
      </c>
      <c r="L156" s="20">
        <f t="shared" si="2"/>
        <v>2</v>
      </c>
    </row>
    <row r="157" spans="1:12" hidden="1" x14ac:dyDescent="0.35">
      <c r="A157" s="8"/>
      <c r="B157" s="1"/>
      <c r="C157" s="1" t="s">
        <v>15</v>
      </c>
      <c r="D157" s="1" t="s">
        <v>340</v>
      </c>
      <c r="E157" s="17">
        <v>0</v>
      </c>
      <c r="F157" s="17">
        <v>0</v>
      </c>
      <c r="G157" s="17">
        <v>0</v>
      </c>
      <c r="H157" s="18">
        <f>G157-F157</f>
        <v>0</v>
      </c>
      <c r="I157" s="19">
        <v>0</v>
      </c>
      <c r="J157" s="19">
        <v>0</v>
      </c>
      <c r="K157" s="19">
        <v>0</v>
      </c>
      <c r="L157" s="20">
        <f t="shared" si="2"/>
        <v>0</v>
      </c>
    </row>
    <row r="158" spans="1:12" hidden="1" x14ac:dyDescent="0.35">
      <c r="A158" s="8"/>
      <c r="B158" s="1"/>
      <c r="C158" s="1" t="s">
        <v>61</v>
      </c>
      <c r="D158" s="1" t="s">
        <v>340</v>
      </c>
      <c r="E158" s="17"/>
      <c r="F158" s="17"/>
      <c r="G158" s="17"/>
      <c r="H158" s="18">
        <f>G158-F158</f>
        <v>0</v>
      </c>
      <c r="I158" s="19">
        <v>0</v>
      </c>
      <c r="J158" s="19">
        <v>0</v>
      </c>
      <c r="K158" s="19">
        <v>0</v>
      </c>
      <c r="L158" s="20">
        <f t="shared" si="2"/>
        <v>0</v>
      </c>
    </row>
  </sheetData>
  <autoFilter ref="A3:AD158" xr:uid="{12DA8F7D-8015-475E-8308-4D39ADDC4FBC}">
    <filterColumn colId="3">
      <filters>
        <filter val="(110) KENDAHE"/>
      </filters>
    </filterColumn>
  </autoFilter>
  <mergeCells count="3">
    <mergeCell ref="E1:L1"/>
    <mergeCell ref="E2:H2"/>
    <mergeCell ref="I2:L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16 Juli_Progres Dashboard</vt:lpstr>
      <vt:lpstr>Progres PPL</vt:lpstr>
      <vt:lpstr>Progres PML</vt:lpstr>
      <vt:lpstr>Status Muatan Kecamatan</vt:lpstr>
      <vt:lpstr>16 Juli_Progres Dashboard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 Siswahto</dc:creator>
  <cp:lastModifiedBy>Eko Siswahto</cp:lastModifiedBy>
  <dcterms:created xsi:type="dcterms:W3CDTF">2026-07-13T03:06:04Z</dcterms:created>
  <dcterms:modified xsi:type="dcterms:W3CDTF">2026-07-17T11:32:05Z</dcterms:modified>
</cp:coreProperties>
</file>