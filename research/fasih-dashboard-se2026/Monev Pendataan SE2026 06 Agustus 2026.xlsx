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6220" tabRatio="600" firstSheet="0" activeTab="4" autoFilterDateGrouping="1"/>
  </bookViews>
  <sheets>
    <sheet xmlns:r="http://schemas.openxmlformats.org/officeDocument/2006/relationships" name="6 Juli" sheetId="1" state="visible" r:id="rId1"/>
    <sheet xmlns:r="http://schemas.openxmlformats.org/officeDocument/2006/relationships" name="Progres PPL" sheetId="2" state="visible" r:id="rId2"/>
    <sheet xmlns:r="http://schemas.openxmlformats.org/officeDocument/2006/relationships" name="Progres PML" sheetId="3" state="visible" r:id="rId3"/>
    <sheet xmlns:r="http://schemas.openxmlformats.org/officeDocument/2006/relationships" name="Status Muatan" sheetId="4" state="visible" r:id="rId4"/>
    <sheet xmlns:r="http://schemas.openxmlformats.org/officeDocument/2006/relationships" name="Kecamatan" sheetId="5" state="visible" r:id="rId5"/>
    <sheet xmlns:r="http://schemas.openxmlformats.org/officeDocument/2006/relationships" name="Rekap Kecamatan" sheetId="6" state="visible" r:id="rId6"/>
  </sheets>
  <definedNames>
    <definedName name="_xlnm._FilterDatabase" localSheetId="1" hidden="1">'Progres PPL'!$A$3:$AO$3</definedName>
    <definedName name="_xlnm._FilterDatabase" localSheetId="3" hidden="1">'Status Muatan'!$A$3:$AO$134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sz val="11"/>
    </font>
    <font>
      <name val="Aptos Narrow"/>
      <color theme="1"/>
      <sz val="11"/>
    </font>
    <font>
      <name val="Aptos Narrow"/>
      <b val="1"/>
      <color theme="1"/>
      <sz val="11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</fonts>
  <fills count="20">
    <fill>
      <patternFill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001F497D"/>
        <bgColor rgb="001F497D"/>
      </patternFill>
    </fill>
    <fill>
      <patternFill patternType="solid">
        <fgColor rgb="00F2F2F2"/>
        <bgColor rgb="00F2F2F2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1" fillId="9" borderId="1" applyAlignment="1" pivotButton="0" quotePrefix="0" xfId="0">
      <alignment horizontal="center"/>
    </xf>
    <xf numFmtId="0" fontId="1" fillId="10" borderId="1" applyAlignment="1" pivotButton="0" quotePrefix="0" xfId="0">
      <alignment horizontal="center"/>
    </xf>
    <xf numFmtId="0" fontId="2" fillId="11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2" fillId="13" borderId="1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center" vertical="top"/>
    </xf>
    <xf numFmtId="0" fontId="4" fillId="8" borderId="1" applyAlignment="1" pivotButton="0" quotePrefix="0" xfId="0">
      <alignment horizontal="center" vertical="top"/>
    </xf>
    <xf numFmtId="0" fontId="4" fillId="15" borderId="1" applyAlignment="1" pivotButton="0" quotePrefix="0" xfId="0">
      <alignment horizontal="center" vertical="top"/>
    </xf>
    <xf numFmtId="0" fontId="4" fillId="16" borderId="1" applyAlignment="1" pivotButton="0" quotePrefix="0" xfId="0">
      <alignment horizontal="center" vertical="top"/>
    </xf>
    <xf numFmtId="0" fontId="4" fillId="11" borderId="1" applyAlignment="1" pivotButton="0" quotePrefix="0" xfId="0">
      <alignment horizontal="center" vertical="top"/>
    </xf>
    <xf numFmtId="0" fontId="4" fillId="12" borderId="1" applyAlignment="1" pivotButton="0" quotePrefix="0" xfId="0">
      <alignment horizontal="center" vertical="top"/>
    </xf>
    <xf numFmtId="0" fontId="4" fillId="13" borderId="1" applyAlignment="1" pivotButton="0" quotePrefix="0" xfId="0">
      <alignment horizontal="center" vertical="top"/>
    </xf>
    <xf numFmtId="0" fontId="4" fillId="14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/>
    </xf>
    <xf numFmtId="3" fontId="0" fillId="17" borderId="1" pivotButton="0" quotePrefix="0" xfId="0"/>
    <xf numFmtId="3" fontId="2" fillId="17" borderId="1" pivotButton="0" quotePrefix="0" xfId="0"/>
    <xf numFmtId="3" fontId="0" fillId="7" borderId="1" pivotButton="0" quotePrefix="0" xfId="0"/>
    <xf numFmtId="3" fontId="2" fillId="7" borderId="1" pivotButton="0" quotePrefix="0" xfId="0"/>
    <xf numFmtId="3" fontId="0" fillId="13" borderId="1" pivotButton="0" quotePrefix="0" xfId="0"/>
    <xf numFmtId="3" fontId="2" fillId="13" borderId="1" pivotButton="0" quotePrefix="0" xfId="0"/>
    <xf numFmtId="3" fontId="0" fillId="15" borderId="1" pivotButton="0" quotePrefix="0" xfId="0"/>
    <xf numFmtId="3" fontId="2" fillId="15" borderId="1" pivotButton="0" quotePrefix="0" xfId="0"/>
    <xf numFmtId="3" fontId="0" fillId="16" borderId="1" pivotButton="0" quotePrefix="0" xfId="0"/>
    <xf numFmtId="3" fontId="2" fillId="16" borderId="1" pivotButton="0" quotePrefix="0" xfId="0"/>
    <xf numFmtId="10" fontId="0" fillId="0" borderId="1" pivotButton="0" quotePrefix="0" xfId="0"/>
    <xf numFmtId="0" fontId="0" fillId="0" borderId="0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1" fillId="4" borderId="3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3" fontId="0" fillId="15" borderId="1" applyAlignment="1" pivotButton="0" quotePrefix="0" xfId="0">
      <alignment horizontal="center"/>
    </xf>
    <xf numFmtId="3" fontId="2" fillId="15" borderId="1" applyAlignment="1" pivotButton="0" quotePrefix="0" xfId="0">
      <alignment horizontal="center"/>
    </xf>
    <xf numFmtId="3" fontId="0" fillId="16" borderId="1" applyAlignment="1" pivotButton="0" quotePrefix="0" xfId="0">
      <alignment horizontal="center"/>
    </xf>
    <xf numFmtId="3" fontId="2" fillId="16" borderId="1" applyAlignment="1" pivotButton="0" quotePrefix="0" xfId="0">
      <alignment horizontal="center"/>
    </xf>
    <xf numFmtId="3" fontId="0" fillId="11" borderId="1" applyAlignment="1" pivotButton="0" quotePrefix="0" xfId="0">
      <alignment horizontal="center"/>
    </xf>
    <xf numFmtId="0" fontId="1" fillId="5" borderId="2" applyAlignment="1" pivotButton="0" quotePrefix="0" xfId="0">
      <alignment horizontal="center"/>
    </xf>
    <xf numFmtId="0" fontId="1" fillId="5" borderId="3" applyAlignment="1" pivotButton="0" quotePrefix="0" xfId="0">
      <alignment horizontal="center"/>
    </xf>
    <xf numFmtId="0" fontId="1" fillId="5" borderId="4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10" fontId="0" fillId="0" borderId="0" pivotButton="0" quotePrefix="0" xfId="0"/>
    <xf numFmtId="0" fontId="5" fillId="0" borderId="10" applyAlignment="1" pivotButton="0" quotePrefix="0" xfId="0">
      <alignment horizontal="center"/>
    </xf>
    <xf numFmtId="0" fontId="5" fillId="0" borderId="10" pivotButton="0" quotePrefix="0" xfId="0"/>
    <xf numFmtId="3" fontId="5" fillId="17" borderId="10" pivotButton="0" quotePrefix="0" xfId="0"/>
    <xf numFmtId="3" fontId="6" fillId="17" borderId="10" pivotButton="0" quotePrefix="0" xfId="0"/>
    <xf numFmtId="3" fontId="5" fillId="7" borderId="10" pivotButton="0" quotePrefix="0" xfId="0"/>
    <xf numFmtId="3" fontId="6" fillId="7" borderId="10" pivotButton="0" quotePrefix="0" xfId="0"/>
    <xf numFmtId="3" fontId="5" fillId="13" borderId="10" pivotButton="0" quotePrefix="0" xfId="0"/>
    <xf numFmtId="3" fontId="6" fillId="13" borderId="10" pivotButton="0" quotePrefix="0" xfId="0"/>
    <xf numFmtId="3" fontId="5" fillId="15" borderId="10" applyAlignment="1" pivotButton="0" quotePrefix="0" xfId="0">
      <alignment horizontal="center"/>
    </xf>
    <xf numFmtId="3" fontId="6" fillId="15" borderId="10" applyAlignment="1" pivotButton="0" quotePrefix="0" xfId="0">
      <alignment horizontal="center"/>
    </xf>
    <xf numFmtId="3" fontId="5" fillId="16" borderId="10" applyAlignment="1" pivotButton="0" quotePrefix="0" xfId="0">
      <alignment horizontal="center"/>
    </xf>
    <xf numFmtId="3" fontId="6" fillId="16" borderId="10" applyAlignment="1" pivotButton="0" quotePrefix="0" xfId="0">
      <alignment horizontal="center"/>
    </xf>
    <xf numFmtId="3" fontId="5" fillId="11" borderId="10" applyAlignment="1" pivotButton="0" quotePrefix="0" xfId="0">
      <alignment horizontal="center"/>
    </xf>
    <xf numFmtId="3" fontId="5" fillId="15" borderId="10" pivotButton="0" quotePrefix="0" xfId="0"/>
    <xf numFmtId="3" fontId="6" fillId="15" borderId="10" pivotButton="0" quotePrefix="0" xfId="0"/>
    <xf numFmtId="3" fontId="5" fillId="16" borderId="10" pivotButton="0" quotePrefix="0" xfId="0"/>
    <xf numFmtId="3" fontId="6" fillId="16" borderId="10" pivotButton="0" quotePrefix="0" xfId="0"/>
    <xf numFmtId="10" fontId="5" fillId="0" borderId="10" pivotButton="0" quotePrefix="0" xfId="0"/>
    <xf numFmtId="0" fontId="7" fillId="0" borderId="0" pivotButton="0" quotePrefix="0" xfId="0"/>
    <xf numFmtId="0" fontId="9" fillId="18" borderId="11" applyAlignment="1" pivotButton="0" quotePrefix="0" xfId="0">
      <alignment horizontal="center"/>
    </xf>
    <xf numFmtId="0" fontId="9" fillId="0" borderId="11" pivotButton="0" quotePrefix="0" xfId="0"/>
    <xf numFmtId="10" fontId="9" fillId="0" borderId="11" pivotButton="0" quotePrefix="0" xfId="0"/>
    <xf numFmtId="0" fontId="9" fillId="19" borderId="11" pivotButton="0" quotePrefix="0" xfId="0"/>
    <xf numFmtId="10" fontId="9" fillId="19" borderId="11" pivotButton="0" quotePrefix="0" xfId="0"/>
  </cellXfs>
  <cellStyles count="1">
    <cellStyle name="Normal" xfId="0" builtinId="0"/>
  </cellStyles>
  <dxfs count="4"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59"/>
  <sheetViews>
    <sheetView workbookViewId="0">
      <selection activeCell="E20" sqref="E20"/>
    </sheetView>
  </sheetViews>
  <sheetFormatPr baseColWidth="8" defaultRowHeight="14.5"/>
  <cols>
    <col width="8.7265625" customWidth="1" style="38" min="1" max="1"/>
    <col width="33.81640625" bestFit="1" customWidth="1" min="2" max="2"/>
    <col width="34.453125" customWidth="1" min="3" max="3"/>
    <col width="7.36328125" bestFit="1" customWidth="1" min="4" max="4"/>
    <col width="60.36328125" bestFit="1" customWidth="1" min="5" max="5"/>
    <col width="8.7265625" customWidth="1" min="6" max="14"/>
    <col width="11.81640625" customWidth="1" style="38" min="15" max="23"/>
    <col width="11.36328125" bestFit="1" customWidth="1" min="24" max="24"/>
    <col width="8.7265625" customWidth="1" min="25" max="26"/>
    <col width="11.36328125" bestFit="1" customWidth="1" min="27" max="27"/>
    <col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/>
      <c r="C4" s="57" t="inlineStr">
        <is>
          <t>unassigned</t>
        </is>
      </c>
      <c r="D4" s="57" t="inlineStr">
        <is>
          <t>PCL</t>
        </is>
      </c>
      <c r="E4" s="57" t="inlineStr"/>
      <c r="F4" s="58" t="n">
        <v>0</v>
      </c>
      <c r="G4" s="58" t="n">
        <v>12</v>
      </c>
      <c r="H4" s="59">
        <f>F4+G4</f>
        <v/>
      </c>
      <c r="I4" s="60" t="n">
        <v>0</v>
      </c>
      <c r="J4" s="60" t="n">
        <v>0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0</v>
      </c>
      <c r="P4" s="64" t="n">
        <v>0</v>
      </c>
      <c r="Q4" s="65">
        <f>P4-O4</f>
        <v/>
      </c>
      <c r="R4" s="66" t="n">
        <v>0</v>
      </c>
      <c r="S4" s="66" t="n">
        <v>0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0</v>
      </c>
      <c r="Y4" s="69" t="n">
        <v>0</v>
      </c>
      <c r="Z4" s="70">
        <f>X4+Y4</f>
        <v/>
      </c>
      <c r="AA4" s="71" t="n">
        <v>0</v>
      </c>
      <c r="AB4" s="71" t="n">
        <v>0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/>
      <c r="C5" s="57" t="inlineStr">
        <is>
          <t>chikaaalombontari@gmail.com</t>
        </is>
      </c>
      <c r="D5" s="57" t="inlineStr">
        <is>
          <t>PCL</t>
        </is>
      </c>
      <c r="E5" s="57" t="inlineStr">
        <is>
          <t>(091) TAHUNA TIMUR</t>
        </is>
      </c>
      <c r="F5" s="58" t="n">
        <v>59</v>
      </c>
      <c r="G5" s="58" t="n">
        <v>2</v>
      </c>
      <c r="H5" s="59">
        <f>F5+G5</f>
        <v/>
      </c>
      <c r="I5" s="60" t="n">
        <v>12</v>
      </c>
      <c r="J5" s="60" t="n">
        <v>2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12</v>
      </c>
      <c r="P5" s="64" t="n">
        <v>3</v>
      </c>
      <c r="Q5" s="65">
        <f>P5-O5</f>
        <v/>
      </c>
      <c r="R5" s="66" t="n">
        <v>2</v>
      </c>
      <c r="S5" s="66" t="n">
        <v>1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59</v>
      </c>
      <c r="Y5" s="69" t="n">
        <v>3</v>
      </c>
      <c r="Z5" s="70">
        <f>X5+Y5</f>
        <v/>
      </c>
      <c r="AA5" s="71" t="n">
        <v>47</v>
      </c>
      <c r="AB5" s="71" t="n">
        <v>1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/>
      <c r="C6" s="57" t="inlineStr">
        <is>
          <t>unassigned</t>
        </is>
      </c>
      <c r="D6" s="57" t="inlineStr">
        <is>
          <t>PML</t>
        </is>
      </c>
      <c r="E6" s="57" t="inlineStr"/>
      <c r="F6" s="58" t="n">
        <v>0</v>
      </c>
      <c r="G6" s="58" t="n">
        <v>12</v>
      </c>
      <c r="H6" s="59">
        <f>F6+G6</f>
        <v/>
      </c>
      <c r="I6" s="60" t="n">
        <v>0</v>
      </c>
      <c r="J6" s="60" t="n">
        <v>0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0</v>
      </c>
      <c r="P6" s="64" t="n">
        <v>0</v>
      </c>
      <c r="Q6" s="65">
        <f>P6-O6</f>
        <v/>
      </c>
      <c r="R6" s="66" t="n">
        <v>0</v>
      </c>
      <c r="S6" s="66" t="n">
        <v>0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0</v>
      </c>
      <c r="Y6" s="69" t="n">
        <v>0</v>
      </c>
      <c r="Z6" s="70">
        <f>X6+Y6</f>
        <v/>
      </c>
      <c r="AA6" s="71" t="n">
        <v>0</v>
      </c>
      <c r="AB6" s="71" t="n">
        <v>0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Aditya Christovel Hangau</t>
        </is>
      </c>
      <c r="C7" s="57" t="inlineStr">
        <is>
          <t>adityahangau@gmail.com</t>
        </is>
      </c>
      <c r="D7" s="57" t="inlineStr">
        <is>
          <t>PCL</t>
        </is>
      </c>
      <c r="E7" s="57" t="inlineStr">
        <is>
          <t>(090) TAHUNA</t>
        </is>
      </c>
      <c r="F7" s="58" t="n">
        <v>347</v>
      </c>
      <c r="G7" s="58" t="n">
        <v>39</v>
      </c>
      <c r="H7" s="59">
        <f>F7+G7</f>
        <v/>
      </c>
      <c r="I7" s="60" t="n">
        <v>80</v>
      </c>
      <c r="J7" s="60" t="n">
        <v>19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80</v>
      </c>
      <c r="P7" s="64" t="n">
        <v>23</v>
      </c>
      <c r="Q7" s="65">
        <f>P7-O7</f>
        <v/>
      </c>
      <c r="R7" s="66" t="n">
        <v>19</v>
      </c>
      <c r="S7" s="66" t="n">
        <v>7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196</v>
      </c>
      <c r="Y7" s="69" t="n">
        <v>27</v>
      </c>
      <c r="Z7" s="70">
        <f>X7+Y7</f>
        <v/>
      </c>
      <c r="AA7" s="71" t="n">
        <v>116</v>
      </c>
      <c r="AB7" s="71" t="n">
        <v>8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Adriano Arga Takahopekang</t>
        </is>
      </c>
      <c r="C8" s="57" t="inlineStr">
        <is>
          <t>adrianoargatakahopekang@gmail.com</t>
        </is>
      </c>
      <c r="D8" s="57" t="inlineStr">
        <is>
          <t>PCL</t>
        </is>
      </c>
      <c r="E8" s="57" t="inlineStr">
        <is>
          <t>(090) TAHUNA</t>
        </is>
      </c>
      <c r="F8" s="58" t="n">
        <v>321</v>
      </c>
      <c r="G8" s="58" t="n">
        <v>29</v>
      </c>
      <c r="H8" s="59">
        <f>F8+G8</f>
        <v/>
      </c>
      <c r="I8" s="60" t="n">
        <v>78</v>
      </c>
      <c r="J8" s="60" t="n">
        <v>9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78</v>
      </c>
      <c r="P8" s="64" t="n">
        <v>30</v>
      </c>
      <c r="Q8" s="65">
        <f>P8-O8</f>
        <v/>
      </c>
      <c r="R8" s="66" t="n">
        <v>9</v>
      </c>
      <c r="S8" s="66" t="n">
        <v>0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183</v>
      </c>
      <c r="Y8" s="69" t="n">
        <v>10</v>
      </c>
      <c r="Z8" s="70">
        <f>X8+Y8</f>
        <v/>
      </c>
      <c r="AA8" s="71" t="n">
        <v>105</v>
      </c>
      <c r="AB8" s="71" t="n">
        <v>1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Ahmad Risandi Karim</t>
        </is>
      </c>
      <c r="C9" s="57" t="inlineStr">
        <is>
          <t>ahmadrisandikarim@gmail.com</t>
        </is>
      </c>
      <c r="D9" s="57" t="inlineStr">
        <is>
          <t>PCL</t>
        </is>
      </c>
      <c r="E9" s="57" t="inlineStr">
        <is>
          <t>(101) NUSA TABUKAN</t>
        </is>
      </c>
      <c r="F9" s="58" t="n">
        <v>308</v>
      </c>
      <c r="G9" s="58" t="n">
        <v>14</v>
      </c>
      <c r="H9" s="59">
        <f>F9+G9</f>
        <v/>
      </c>
      <c r="I9" s="60" t="n">
        <v>24</v>
      </c>
      <c r="J9" s="60" t="n">
        <v>4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24</v>
      </c>
      <c r="P9" s="64" t="n">
        <v>31</v>
      </c>
      <c r="Q9" s="65">
        <f>P9-O9</f>
        <v/>
      </c>
      <c r="R9" s="66" t="n">
        <v>4</v>
      </c>
      <c r="S9" s="66" t="n">
        <v>1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285</v>
      </c>
      <c r="Y9" s="69" t="n">
        <v>11</v>
      </c>
      <c r="Z9" s="70">
        <f>X9+Y9</f>
        <v/>
      </c>
      <c r="AA9" s="71" t="n">
        <v>261</v>
      </c>
      <c r="AB9" s="71" t="n">
        <v>7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Aldo Jhon Mesak Bangonang</t>
        </is>
      </c>
      <c r="C10" s="57" t="inlineStr">
        <is>
          <t>mesakbangonang99@gmail.com</t>
        </is>
      </c>
      <c r="D10" s="57" t="inlineStr">
        <is>
          <t>PCL</t>
        </is>
      </c>
      <c r="E10" s="57" t="inlineStr">
        <is>
          <t>(091) TAHUNA TIMUR</t>
        </is>
      </c>
      <c r="F10" s="58" t="n">
        <v>312</v>
      </c>
      <c r="G10" s="58" t="n">
        <v>47</v>
      </c>
      <c r="H10" s="59">
        <f>F10+G10</f>
        <v/>
      </c>
      <c r="I10" s="60" t="n">
        <v>12</v>
      </c>
      <c r="J10" s="60" t="n">
        <v>5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12</v>
      </c>
      <c r="P10" s="64" t="n">
        <v>16</v>
      </c>
      <c r="Q10" s="65">
        <f>P10-O10</f>
        <v/>
      </c>
      <c r="R10" s="66" t="n">
        <v>5</v>
      </c>
      <c r="S10" s="66" t="n">
        <v>3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144</v>
      </c>
      <c r="Y10" s="69" t="n">
        <v>12</v>
      </c>
      <c r="Z10" s="70">
        <f>X10+Y10</f>
        <v/>
      </c>
      <c r="AA10" s="71" t="n">
        <v>132</v>
      </c>
      <c r="AB10" s="71" t="n">
        <v>7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Alfred Jonathan</t>
        </is>
      </c>
      <c r="C11" s="57" t="inlineStr">
        <is>
          <t>alfredjonathan1986@gmail.com</t>
        </is>
      </c>
      <c r="D11" s="57" t="inlineStr">
        <is>
          <t>PCL</t>
        </is>
      </c>
      <c r="E11" s="57" t="inlineStr">
        <is>
          <t>(101) NUSA TABUKAN</t>
        </is>
      </c>
      <c r="F11" s="58" t="n">
        <v>253</v>
      </c>
      <c r="G11" s="58" t="n">
        <v>17</v>
      </c>
      <c r="H11" s="59">
        <f>F11+G11</f>
        <v/>
      </c>
      <c r="I11" s="60" t="n">
        <v>30</v>
      </c>
      <c r="J11" s="60" t="n">
        <v>11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30</v>
      </c>
      <c r="P11" s="64" t="n">
        <v>25</v>
      </c>
      <c r="Q11" s="65">
        <f>P11-O11</f>
        <v/>
      </c>
      <c r="R11" s="66" t="n">
        <v>11</v>
      </c>
      <c r="S11" s="66" t="n">
        <v>1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253</v>
      </c>
      <c r="Y11" s="69" t="n">
        <v>15</v>
      </c>
      <c r="Z11" s="70">
        <f>X11+Y11</f>
        <v/>
      </c>
      <c r="AA11" s="71" t="n">
        <v>223</v>
      </c>
      <c r="AB11" s="71" t="n">
        <v>4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Alfrets Getah</t>
        </is>
      </c>
      <c r="C12" s="57" t="inlineStr">
        <is>
          <t>alfred86354@gmail.com</t>
        </is>
      </c>
      <c r="D12" s="57" t="inlineStr">
        <is>
          <t>PCL</t>
        </is>
      </c>
      <c r="E12" s="57" t="inlineStr">
        <is>
          <t>(061) TABUKAN SELATAN TENGAH</t>
        </is>
      </c>
      <c r="F12" s="58" t="n">
        <v>284</v>
      </c>
      <c r="G12" s="58" t="n">
        <v>15</v>
      </c>
      <c r="H12" s="59">
        <f>F12+G12</f>
        <v/>
      </c>
      <c r="I12" s="60" t="n">
        <v>20</v>
      </c>
      <c r="J12" s="60" t="n">
        <v>3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20</v>
      </c>
      <c r="P12" s="64" t="n">
        <v>30</v>
      </c>
      <c r="Q12" s="65">
        <f>P12-O12</f>
        <v/>
      </c>
      <c r="R12" s="66" t="n">
        <v>3</v>
      </c>
      <c r="S12" s="66" t="n">
        <v>4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201</v>
      </c>
      <c r="Y12" s="69" t="n">
        <v>8</v>
      </c>
      <c r="Z12" s="70">
        <f>X12+Y12</f>
        <v/>
      </c>
      <c r="AA12" s="71" t="n">
        <v>181</v>
      </c>
      <c r="AB12" s="71" t="n">
        <v>5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Allan Christovel Sapeti</t>
        </is>
      </c>
      <c r="C13" s="57" t="inlineStr">
        <is>
          <t>allansapeti33@gmail.com</t>
        </is>
      </c>
      <c r="D13" s="57" t="inlineStr">
        <is>
          <t>PCL</t>
        </is>
      </c>
      <c r="E13" s="57" t="inlineStr">
        <is>
          <t>(070) TABUKAN TENGAH</t>
        </is>
      </c>
      <c r="F13" s="58" t="n">
        <v>297</v>
      </c>
      <c r="G13" s="58" t="n">
        <v>21</v>
      </c>
      <c r="H13" s="59">
        <f>F13+G13</f>
        <v/>
      </c>
      <c r="I13" s="60" t="n">
        <v>23</v>
      </c>
      <c r="J13" s="60" t="n">
        <v>3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23</v>
      </c>
      <c r="P13" s="64" t="n">
        <v>47</v>
      </c>
      <c r="Q13" s="65">
        <f>P13-O13</f>
        <v/>
      </c>
      <c r="R13" s="66" t="n">
        <v>3</v>
      </c>
      <c r="S13" s="66" t="n">
        <v>4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174</v>
      </c>
      <c r="Y13" s="69" t="n">
        <v>16</v>
      </c>
      <c r="Z13" s="70">
        <f>X13+Y13</f>
        <v/>
      </c>
      <c r="AA13" s="71" t="n">
        <v>151</v>
      </c>
      <c r="AB13" s="71" t="n">
        <v>13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Ambrosius Tampi Tangkabiringan</t>
        </is>
      </c>
      <c r="C14" s="57" t="inlineStr">
        <is>
          <t>tangkabiringanayen70@gmail.com</t>
        </is>
      </c>
      <c r="D14" s="57" t="inlineStr">
        <is>
          <t>PCL</t>
        </is>
      </c>
      <c r="E14" s="57" t="inlineStr">
        <is>
          <t>(090) TAHUNA</t>
        </is>
      </c>
      <c r="F14" s="58" t="n">
        <v>201</v>
      </c>
      <c r="G14" s="58" t="n">
        <v>178</v>
      </c>
      <c r="H14" s="59">
        <f>F14+G14</f>
        <v/>
      </c>
      <c r="I14" s="60" t="n">
        <v>30</v>
      </c>
      <c r="J14" s="60" t="n">
        <v>7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30</v>
      </c>
      <c r="P14" s="64" t="n">
        <v>33</v>
      </c>
      <c r="Q14" s="65">
        <f>P14-O14</f>
        <v/>
      </c>
      <c r="R14" s="66" t="n">
        <v>7</v>
      </c>
      <c r="S14" s="66" t="n">
        <v>79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153</v>
      </c>
      <c r="Y14" s="69" t="n">
        <v>125</v>
      </c>
      <c r="Z14" s="70">
        <f>X14+Y14</f>
        <v/>
      </c>
      <c r="AA14" s="71" t="n">
        <v>123</v>
      </c>
      <c r="AB14" s="71" t="n">
        <v>118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Amels Wisye Margareth Sasauw</t>
        </is>
      </c>
      <c r="C15" s="57" t="inlineStr">
        <is>
          <t>amelssasauw138@gmail.com</t>
        </is>
      </c>
      <c r="D15" s="57" t="inlineStr">
        <is>
          <t>PCL</t>
        </is>
      </c>
      <c r="E15" s="57" t="inlineStr">
        <is>
          <t>(080) MANGANITU</t>
        </is>
      </c>
      <c r="F15" s="58" t="n">
        <v>338</v>
      </c>
      <c r="G15" s="58" t="n">
        <v>22</v>
      </c>
      <c r="H15" s="59">
        <f>F15+G15</f>
        <v/>
      </c>
      <c r="I15" s="60" t="n">
        <v>14</v>
      </c>
      <c r="J15" s="60" t="n">
        <v>3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14</v>
      </c>
      <c r="P15" s="64" t="n">
        <v>20</v>
      </c>
      <c r="Q15" s="65">
        <f>P15-O15</f>
        <v/>
      </c>
      <c r="R15" s="66" t="n">
        <v>3</v>
      </c>
      <c r="S15" s="66" t="n">
        <v>2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226</v>
      </c>
      <c r="Y15" s="69" t="n">
        <v>8</v>
      </c>
      <c r="Z15" s="70">
        <f>X15+Y15</f>
        <v/>
      </c>
      <c r="AA15" s="71" t="n">
        <v>212</v>
      </c>
      <c r="AB15" s="71" t="n">
        <v>5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Amna Maneking</t>
        </is>
      </c>
      <c r="C16" s="57" t="inlineStr">
        <is>
          <t>amnamaneking@gmail.com</t>
        </is>
      </c>
      <c r="D16" s="57" t="inlineStr">
        <is>
          <t>PCL</t>
        </is>
      </c>
      <c r="E16" s="57" t="inlineStr">
        <is>
          <t>(100) TABUKAN UTARA</t>
        </is>
      </c>
      <c r="F16" s="58" t="n">
        <v>331</v>
      </c>
      <c r="G16" s="58" t="n">
        <v>53</v>
      </c>
      <c r="H16" s="59">
        <f>F16+G16</f>
        <v/>
      </c>
      <c r="I16" s="60" t="n">
        <v>39</v>
      </c>
      <c r="J16" s="60" t="n">
        <v>32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39</v>
      </c>
      <c r="P16" s="64" t="n">
        <v>40</v>
      </c>
      <c r="Q16" s="65">
        <f>P16-O16</f>
        <v/>
      </c>
      <c r="R16" s="66" t="n">
        <v>32</v>
      </c>
      <c r="S16" s="66" t="n">
        <v>12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239</v>
      </c>
      <c r="Y16" s="69" t="n">
        <v>57</v>
      </c>
      <c r="Z16" s="70">
        <f>X16+Y16</f>
        <v/>
      </c>
      <c r="AA16" s="71" t="n">
        <v>200</v>
      </c>
      <c r="AB16" s="71" t="n">
        <v>25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Anace Diamanis</t>
        </is>
      </c>
      <c r="C17" s="57" t="inlineStr">
        <is>
          <t>anacediamanis@gmail.com</t>
        </is>
      </c>
      <c r="D17" s="57" t="inlineStr">
        <is>
          <t>PCL</t>
        </is>
      </c>
      <c r="E17" s="57" t="inlineStr">
        <is>
          <t>(080) MANGANITU</t>
        </is>
      </c>
      <c r="F17" s="58" t="n">
        <v>356</v>
      </c>
      <c r="G17" s="58" t="n">
        <v>16</v>
      </c>
      <c r="H17" s="59">
        <f>F17+G17</f>
        <v/>
      </c>
      <c r="I17" s="60" t="n">
        <v>41</v>
      </c>
      <c r="J17" s="60" t="n">
        <v>10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41</v>
      </c>
      <c r="P17" s="64" t="n">
        <v>86</v>
      </c>
      <c r="Q17" s="65">
        <f>P17-O17</f>
        <v/>
      </c>
      <c r="R17" s="66" t="n">
        <v>10</v>
      </c>
      <c r="S17" s="66" t="n">
        <v>18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294</v>
      </c>
      <c r="Y17" s="69" t="n">
        <v>31</v>
      </c>
      <c r="Z17" s="70">
        <f>X17+Y17</f>
        <v/>
      </c>
      <c r="AA17" s="71" t="n">
        <v>253</v>
      </c>
      <c r="AB17" s="71" t="n">
        <v>21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Andini Safitri Makaminan</t>
        </is>
      </c>
      <c r="C18" s="57" t="inlineStr">
        <is>
          <t>andinimakaminan98@gmail.com</t>
        </is>
      </c>
      <c r="D18" s="57" t="inlineStr">
        <is>
          <t>PCL</t>
        </is>
      </c>
      <c r="E18" s="57" t="inlineStr">
        <is>
          <t>(100) TABUKAN UTARA</t>
        </is>
      </c>
      <c r="F18" s="58" t="n">
        <v>306</v>
      </c>
      <c r="G18" s="58" t="n">
        <v>55</v>
      </c>
      <c r="H18" s="59">
        <f>F18+G18</f>
        <v/>
      </c>
      <c r="I18" s="60" t="n">
        <v>54</v>
      </c>
      <c r="J18" s="60" t="n">
        <v>32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54</v>
      </c>
      <c r="P18" s="64" t="n">
        <v>37</v>
      </c>
      <c r="Q18" s="65">
        <f>P18-O18</f>
        <v/>
      </c>
      <c r="R18" s="66" t="n">
        <v>32</v>
      </c>
      <c r="S18" s="66" t="n">
        <v>3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241</v>
      </c>
      <c r="Y18" s="69" t="n">
        <v>47</v>
      </c>
      <c r="Z18" s="70">
        <f>X18+Y18</f>
        <v/>
      </c>
      <c r="AA18" s="71" t="n">
        <v>187</v>
      </c>
      <c r="AB18" s="71" t="n">
        <v>15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Ardi Brian Silas Saul</t>
        </is>
      </c>
      <c r="C19" s="57" t="inlineStr">
        <is>
          <t>brayenabssaul@gmail.com</t>
        </is>
      </c>
      <c r="D19" s="57" t="inlineStr">
        <is>
          <t>PCL</t>
        </is>
      </c>
      <c r="E19" s="57" t="inlineStr">
        <is>
          <t>(080) MANGANITU</t>
        </is>
      </c>
      <c r="F19" s="58" t="n">
        <v>312</v>
      </c>
      <c r="G19" s="58" t="n">
        <v>41</v>
      </c>
      <c r="H19" s="59">
        <f>F19+G19</f>
        <v/>
      </c>
      <c r="I19" s="60" t="n">
        <v>25</v>
      </c>
      <c r="J19" s="60" t="n">
        <v>11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25</v>
      </c>
      <c r="P19" s="64" t="n">
        <v>31</v>
      </c>
      <c r="Q19" s="65">
        <f>P19-O19</f>
        <v/>
      </c>
      <c r="R19" s="66" t="n">
        <v>11</v>
      </c>
      <c r="S19" s="66" t="n">
        <v>3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206</v>
      </c>
      <c r="Y19" s="69" t="n">
        <v>24</v>
      </c>
      <c r="Z19" s="70">
        <f>X19+Y19</f>
        <v/>
      </c>
      <c r="AA19" s="71" t="n">
        <v>181</v>
      </c>
      <c r="AB19" s="71" t="n">
        <v>13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Arfando Pieter Tampilang</t>
        </is>
      </c>
      <c r="C20" s="57" t="inlineStr">
        <is>
          <t>pietertampilang@gmail.com</t>
        </is>
      </c>
      <c r="D20" s="57" t="inlineStr">
        <is>
          <t>PCL</t>
        </is>
      </c>
      <c r="E20" s="57" t="inlineStr">
        <is>
          <t>(070) TABUKAN TENGAH</t>
        </is>
      </c>
      <c r="F20" s="58" t="n">
        <v>297</v>
      </c>
      <c r="G20" s="58" t="n">
        <v>72</v>
      </c>
      <c r="H20" s="59">
        <f>F20+G20</f>
        <v/>
      </c>
      <c r="I20" s="60" t="n">
        <v>71</v>
      </c>
      <c r="J20" s="60" t="n">
        <v>15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71</v>
      </c>
      <c r="P20" s="64" t="n">
        <v>13</v>
      </c>
      <c r="Q20" s="65">
        <f>P20-O20</f>
        <v/>
      </c>
      <c r="R20" s="66" t="n">
        <v>15</v>
      </c>
      <c r="S20" s="66" t="n">
        <v>4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168</v>
      </c>
      <c r="Y20" s="69" t="n">
        <v>54</v>
      </c>
      <c r="Z20" s="70">
        <f>X20+Y20</f>
        <v/>
      </c>
      <c r="AA20" s="71" t="n">
        <v>97</v>
      </c>
      <c r="AB20" s="71" t="n">
        <v>39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Arianti Adahati</t>
        </is>
      </c>
      <c r="C21" s="57" t="inlineStr">
        <is>
          <t>ariantiadahati05@gmail.com</t>
        </is>
      </c>
      <c r="D21" s="57" t="inlineStr">
        <is>
          <t>PCL</t>
        </is>
      </c>
      <c r="E21" s="57" t="inlineStr">
        <is>
          <t>(091) TAHUNA TIMUR</t>
        </is>
      </c>
      <c r="F21" s="58" t="n">
        <v>365</v>
      </c>
      <c r="G21" s="58" t="n">
        <v>54</v>
      </c>
      <c r="H21" s="59">
        <f>F21+G21</f>
        <v/>
      </c>
      <c r="I21" s="60" t="n">
        <v>102</v>
      </c>
      <c r="J21" s="60" t="n">
        <v>28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102</v>
      </c>
      <c r="P21" s="64" t="n">
        <v>74</v>
      </c>
      <c r="Q21" s="65">
        <f>P21-O21</f>
        <v/>
      </c>
      <c r="R21" s="66" t="n">
        <v>28</v>
      </c>
      <c r="S21" s="66" t="n">
        <v>14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316</v>
      </c>
      <c r="Y21" s="69" t="n">
        <v>61</v>
      </c>
      <c r="Z21" s="70">
        <f>X21+Y21</f>
        <v/>
      </c>
      <c r="AA21" s="71" t="n">
        <v>214</v>
      </c>
      <c r="AB21" s="71" t="n">
        <v>33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Asari Prisilia Antari</t>
        </is>
      </c>
      <c r="C22" s="57" t="inlineStr">
        <is>
          <t>asaripantari@gmail.com</t>
        </is>
      </c>
      <c r="D22" s="57" t="inlineStr">
        <is>
          <t>PCL</t>
        </is>
      </c>
      <c r="E22" s="57" t="inlineStr">
        <is>
          <t>(050) TAMAKO</t>
        </is>
      </c>
      <c r="F22" s="58" t="n">
        <v>352</v>
      </c>
      <c r="G22" s="58" t="n">
        <v>16</v>
      </c>
      <c r="H22" s="59">
        <f>F22+G22</f>
        <v/>
      </c>
      <c r="I22" s="60" t="n">
        <v>73</v>
      </c>
      <c r="J22" s="60" t="n">
        <v>13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73</v>
      </c>
      <c r="P22" s="64" t="n">
        <v>6</v>
      </c>
      <c r="Q22" s="65">
        <f>P22-O22</f>
        <v/>
      </c>
      <c r="R22" s="66" t="n">
        <v>13</v>
      </c>
      <c r="S22" s="66" t="n">
        <v>7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312</v>
      </c>
      <c r="Y22" s="69" t="n">
        <v>20</v>
      </c>
      <c r="Z22" s="70">
        <f>X22+Y22</f>
        <v/>
      </c>
      <c r="AA22" s="71" t="n">
        <v>239</v>
      </c>
      <c r="AB22" s="71" t="n">
        <v>7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Asiantina Maniku</t>
        </is>
      </c>
      <c r="C23" s="57" t="inlineStr">
        <is>
          <t>iyanmaniku1@gmail.com</t>
        </is>
      </c>
      <c r="D23" s="57" t="inlineStr">
        <is>
          <t>PCL</t>
        </is>
      </c>
      <c r="E23" s="57" t="inlineStr">
        <is>
          <t>(100) TABUKAN UTARA</t>
        </is>
      </c>
      <c r="F23" s="58" t="n">
        <v>316</v>
      </c>
      <c r="G23" s="58" t="n">
        <v>35</v>
      </c>
      <c r="H23" s="59">
        <f>F23+G23</f>
        <v/>
      </c>
      <c r="I23" s="60" t="n">
        <v>75</v>
      </c>
      <c r="J23" s="60" t="n">
        <v>3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75</v>
      </c>
      <c r="P23" s="64" t="n">
        <v>40</v>
      </c>
      <c r="Q23" s="65">
        <f>P23-O23</f>
        <v/>
      </c>
      <c r="R23" s="66" t="n">
        <v>3</v>
      </c>
      <c r="S23" s="66" t="n">
        <v>1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262</v>
      </c>
      <c r="Y23" s="69" t="n">
        <v>5</v>
      </c>
      <c r="Z23" s="70">
        <f>X23+Y23</f>
        <v/>
      </c>
      <c r="AA23" s="71" t="n">
        <v>187</v>
      </c>
      <c r="AB23" s="71" t="n">
        <v>2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Asyer Claudio Maralending</t>
        </is>
      </c>
      <c r="C24" s="57" t="inlineStr">
        <is>
          <t>asyermaralending@gmail.com</t>
        </is>
      </c>
      <c r="D24" s="57" t="inlineStr">
        <is>
          <t>PCL</t>
        </is>
      </c>
      <c r="E24" s="57" t="inlineStr">
        <is>
          <t>(091) TAHUNA TIMUR</t>
        </is>
      </c>
      <c r="F24" s="58" t="n">
        <v>395</v>
      </c>
      <c r="G24" s="58" t="n">
        <v>35</v>
      </c>
      <c r="H24" s="59">
        <f>F24+G24</f>
        <v/>
      </c>
      <c r="I24" s="60" t="n">
        <v>55</v>
      </c>
      <c r="J24" s="60" t="n">
        <v>5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55</v>
      </c>
      <c r="P24" s="64" t="n">
        <v>27</v>
      </c>
      <c r="Q24" s="65">
        <f>P24-O24</f>
        <v/>
      </c>
      <c r="R24" s="66" t="n">
        <v>5</v>
      </c>
      <c r="S24" s="66" t="n">
        <v>1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255</v>
      </c>
      <c r="Y24" s="69" t="n">
        <v>6</v>
      </c>
      <c r="Z24" s="70">
        <f>X24+Y24</f>
        <v/>
      </c>
      <c r="AA24" s="71" t="n">
        <v>200</v>
      </c>
      <c r="AB24" s="71" t="n">
        <v>1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Avricilya Ester Rangian</t>
        </is>
      </c>
      <c r="C25" s="57" t="inlineStr">
        <is>
          <t>esterrangian@gmail.com</t>
        </is>
      </c>
      <c r="D25" s="57" t="inlineStr">
        <is>
          <t>PCL</t>
        </is>
      </c>
      <c r="E25" s="57" t="inlineStr">
        <is>
          <t>(100) TABUKAN UTARA</t>
        </is>
      </c>
      <c r="F25" s="58" t="n">
        <v>347</v>
      </c>
      <c r="G25" s="58" t="n">
        <v>27</v>
      </c>
      <c r="H25" s="59">
        <f>F25+G25</f>
        <v/>
      </c>
      <c r="I25" s="60" t="n">
        <v>46</v>
      </c>
      <c r="J25" s="60" t="n">
        <v>18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46</v>
      </c>
      <c r="P25" s="64" t="n">
        <v>75</v>
      </c>
      <c r="Q25" s="65">
        <f>P25-O25</f>
        <v/>
      </c>
      <c r="R25" s="66" t="n">
        <v>18</v>
      </c>
      <c r="S25" s="66" t="n">
        <v>2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347</v>
      </c>
      <c r="Y25" s="69" t="n">
        <v>28</v>
      </c>
      <c r="Z25" s="70">
        <f>X25+Y25</f>
        <v/>
      </c>
      <c r="AA25" s="71" t="n">
        <v>301</v>
      </c>
      <c r="AB25" s="71" t="n">
        <v>10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Ayu Lestari Areros</t>
        </is>
      </c>
      <c r="C26" s="57" t="inlineStr">
        <is>
          <t>ayuareros714@gmail.com</t>
        </is>
      </c>
      <c r="D26" s="57" t="inlineStr">
        <is>
          <t>PCL</t>
        </is>
      </c>
      <c r="E26" s="57" t="inlineStr">
        <is>
          <t>(040) MANGANITU SELATAN</t>
        </is>
      </c>
      <c r="F26" s="58" t="n">
        <v>244</v>
      </c>
      <c r="G26" s="58" t="n">
        <v>44</v>
      </c>
      <c r="H26" s="59">
        <f>F26+G26</f>
        <v/>
      </c>
      <c r="I26" s="60" t="n">
        <v>37</v>
      </c>
      <c r="J26" s="60" t="n">
        <v>15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37</v>
      </c>
      <c r="P26" s="64" t="n">
        <v>8</v>
      </c>
      <c r="Q26" s="65">
        <f>P26-O26</f>
        <v/>
      </c>
      <c r="R26" s="66" t="n">
        <v>15</v>
      </c>
      <c r="S26" s="66" t="n">
        <v>0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232</v>
      </c>
      <c r="Y26" s="69" t="n">
        <v>37</v>
      </c>
      <c r="Z26" s="70">
        <f>X26+Y26</f>
        <v/>
      </c>
      <c r="AA26" s="71" t="n">
        <v>195</v>
      </c>
      <c r="AB26" s="71" t="n">
        <v>22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>
        <is>
          <t>B. Lenskar Diamanis</t>
        </is>
      </c>
      <c r="C27" s="57" t="inlineStr">
        <is>
          <t>lenskardiamaniz@gmail.com</t>
        </is>
      </c>
      <c r="D27" s="57" t="inlineStr">
        <is>
          <t>PML</t>
        </is>
      </c>
      <c r="E27" s="57" t="inlineStr">
        <is>
          <t>(080) MANGANITU</t>
        </is>
      </c>
      <c r="F27" s="58" t="n">
        <v>1629</v>
      </c>
      <c r="G27" s="58" t="n">
        <v>161</v>
      </c>
      <c r="H27" s="59">
        <f>F27+G27</f>
        <v/>
      </c>
      <c r="I27" s="60" t="n">
        <v>127</v>
      </c>
      <c r="J27" s="60" t="n">
        <v>48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127</v>
      </c>
      <c r="P27" s="64" t="n">
        <v>156</v>
      </c>
      <c r="Q27" s="65">
        <f>P27-O27</f>
        <v/>
      </c>
      <c r="R27" s="66" t="n">
        <v>48</v>
      </c>
      <c r="S27" s="66" t="n">
        <v>19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1062</v>
      </c>
      <c r="Y27" s="69" t="n">
        <v>97</v>
      </c>
      <c r="Z27" s="70">
        <f>X27+Y27</f>
        <v/>
      </c>
      <c r="AA27" s="71" t="n">
        <v>935</v>
      </c>
      <c r="AB27" s="71" t="n">
        <v>49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Bayu Sutiyono Dujoh</t>
        </is>
      </c>
      <c r="C28" s="57" t="inlineStr">
        <is>
          <t>bayuduyoh998@gmail.com</t>
        </is>
      </c>
      <c r="D28" s="57" t="inlineStr">
        <is>
          <t>PCL</t>
        </is>
      </c>
      <c r="E28" s="57" t="inlineStr">
        <is>
          <t>(090) TAHUNA</t>
        </is>
      </c>
      <c r="F28" s="58" t="n">
        <v>315</v>
      </c>
      <c r="G28" s="58" t="n">
        <v>51</v>
      </c>
      <c r="H28" s="59">
        <f>F28+G28</f>
        <v/>
      </c>
      <c r="I28" s="60" t="n">
        <v>58</v>
      </c>
      <c r="J28" s="60" t="n">
        <v>20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58</v>
      </c>
      <c r="P28" s="64" t="n">
        <v>17</v>
      </c>
      <c r="Q28" s="65">
        <f>P28-O28</f>
        <v/>
      </c>
      <c r="R28" s="66" t="n">
        <v>20</v>
      </c>
      <c r="S28" s="66" t="n">
        <v>2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179</v>
      </c>
      <c r="Y28" s="69" t="n">
        <v>26</v>
      </c>
      <c r="Z28" s="70">
        <f>X28+Y28</f>
        <v/>
      </c>
      <c r="AA28" s="71" t="n">
        <v>121</v>
      </c>
      <c r="AB28" s="71" t="n">
        <v>6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Billy Amstrong Tempolenehe</t>
        </is>
      </c>
      <c r="C29" s="57" t="inlineStr">
        <is>
          <t>billytempolenehe@gmail.com</t>
        </is>
      </c>
      <c r="D29" s="57" t="inlineStr">
        <is>
          <t>PCL</t>
        </is>
      </c>
      <c r="E29" s="57" t="inlineStr">
        <is>
          <t>(050) TAMAKO</t>
        </is>
      </c>
      <c r="F29" s="58" t="n">
        <v>400</v>
      </c>
      <c r="G29" s="58" t="n">
        <v>20</v>
      </c>
      <c r="H29" s="59">
        <f>F29+G29</f>
        <v/>
      </c>
      <c r="I29" s="60" t="n">
        <v>92</v>
      </c>
      <c r="J29" s="60" t="n">
        <v>8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92</v>
      </c>
      <c r="P29" s="64" t="n">
        <v>31</v>
      </c>
      <c r="Q29" s="65">
        <f>P29-O29</f>
        <v/>
      </c>
      <c r="R29" s="66" t="n">
        <v>8</v>
      </c>
      <c r="S29" s="66" t="n">
        <v>9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276</v>
      </c>
      <c r="Y29" s="69" t="n">
        <v>19</v>
      </c>
      <c r="Z29" s="70">
        <f>X29+Y29</f>
        <v/>
      </c>
      <c r="AA29" s="71" t="n">
        <v>184</v>
      </c>
      <c r="AB29" s="71" t="n">
        <v>11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Cevin Sander Zon Makapedua</t>
        </is>
      </c>
      <c r="C30" s="57" t="inlineStr">
        <is>
          <t>cevinmakapedua926@gmail.com</t>
        </is>
      </c>
      <c r="D30" s="57" t="inlineStr">
        <is>
          <t>PCL</t>
        </is>
      </c>
      <c r="E30" s="57" t="inlineStr">
        <is>
          <t>(060) TABUKAN SELATAN</t>
        </is>
      </c>
      <c r="F30" s="58" t="n">
        <v>264</v>
      </c>
      <c r="G30" s="58" t="n">
        <v>47</v>
      </c>
      <c r="H30" s="59">
        <f>F30+G30</f>
        <v/>
      </c>
      <c r="I30" s="60" t="n">
        <v>41</v>
      </c>
      <c r="J30" s="60" t="n">
        <v>32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41</v>
      </c>
      <c r="P30" s="64" t="n">
        <v>30</v>
      </c>
      <c r="Q30" s="65">
        <f>P30-O30</f>
        <v/>
      </c>
      <c r="R30" s="66" t="n">
        <v>32</v>
      </c>
      <c r="S30" s="66" t="n">
        <v>8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241</v>
      </c>
      <c r="Y30" s="69" t="n">
        <v>44</v>
      </c>
      <c r="Z30" s="70">
        <f>X30+Y30</f>
        <v/>
      </c>
      <c r="AA30" s="71" t="n">
        <v>200</v>
      </c>
      <c r="AB30" s="71" t="n">
        <v>12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Charly Angel Tatontos</t>
        </is>
      </c>
      <c r="C31" s="57" t="inlineStr">
        <is>
          <t>tatontoscharly@gmail.com</t>
        </is>
      </c>
      <c r="D31" s="57" t="inlineStr">
        <is>
          <t>PML</t>
        </is>
      </c>
      <c r="E31" s="57" t="inlineStr">
        <is>
          <t>(050) TAMAKO</t>
        </is>
      </c>
      <c r="F31" s="58" t="n">
        <v>1882</v>
      </c>
      <c r="G31" s="58" t="n">
        <v>327</v>
      </c>
      <c r="H31" s="59">
        <f>F31+G31</f>
        <v/>
      </c>
      <c r="I31" s="60" t="n">
        <v>334</v>
      </c>
      <c r="J31" s="60" t="n">
        <v>123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334</v>
      </c>
      <c r="P31" s="64" t="n">
        <v>237</v>
      </c>
      <c r="Q31" s="65">
        <f>P31-O31</f>
        <v/>
      </c>
      <c r="R31" s="66" t="n">
        <v>123</v>
      </c>
      <c r="S31" s="66" t="n">
        <v>142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1567</v>
      </c>
      <c r="Y31" s="69" t="n">
        <v>344</v>
      </c>
      <c r="Z31" s="70">
        <f>X31+Y31</f>
        <v/>
      </c>
      <c r="AA31" s="71" t="n">
        <v>1233</v>
      </c>
      <c r="AB31" s="71" t="n">
        <v>221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Christian Megawe</t>
        </is>
      </c>
      <c r="C32" s="57" t="inlineStr">
        <is>
          <t>megawechristian@gmail.com</t>
        </is>
      </c>
      <c r="D32" s="57" t="inlineStr">
        <is>
          <t>PCL</t>
        </is>
      </c>
      <c r="E32" s="57" t="inlineStr">
        <is>
          <t>(050) TAMAKO</t>
        </is>
      </c>
      <c r="F32" s="58" t="n">
        <v>336</v>
      </c>
      <c r="G32" s="58" t="n">
        <v>32</v>
      </c>
      <c r="H32" s="59">
        <f>F32+G32</f>
        <v/>
      </c>
      <c r="I32" s="60" t="n">
        <v>44</v>
      </c>
      <c r="J32" s="60" t="n">
        <v>15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44</v>
      </c>
      <c r="P32" s="64" t="n">
        <v>71</v>
      </c>
      <c r="Q32" s="65">
        <f>P32-O32</f>
        <v/>
      </c>
      <c r="R32" s="66" t="n">
        <v>15</v>
      </c>
      <c r="S32" s="66" t="n">
        <v>10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263</v>
      </c>
      <c r="Y32" s="69" t="n">
        <v>34</v>
      </c>
      <c r="Z32" s="70">
        <f>X32+Y32</f>
        <v/>
      </c>
      <c r="AA32" s="71" t="n">
        <v>219</v>
      </c>
      <c r="AB32" s="71" t="n">
        <v>19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Christianto Harilama</t>
        </is>
      </c>
      <c r="C33" s="57" t="inlineStr">
        <is>
          <t>harilamachris23@gmail.com</t>
        </is>
      </c>
      <c r="D33" s="57" t="inlineStr">
        <is>
          <t>PCL</t>
        </is>
      </c>
      <c r="E33" s="57" t="inlineStr">
        <is>
          <t>(091) TAHUNA TIMUR</t>
        </is>
      </c>
      <c r="F33" s="58" t="n">
        <v>386</v>
      </c>
      <c r="G33" s="58" t="n">
        <v>27</v>
      </c>
      <c r="H33" s="59">
        <f>F33+G33</f>
        <v/>
      </c>
      <c r="I33" s="60" t="n">
        <v>47</v>
      </c>
      <c r="J33" s="60" t="n">
        <v>9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47</v>
      </c>
      <c r="P33" s="64" t="n">
        <v>13</v>
      </c>
      <c r="Q33" s="65">
        <f>P33-O33</f>
        <v/>
      </c>
      <c r="R33" s="66" t="n">
        <v>9</v>
      </c>
      <c r="S33" s="66" t="n">
        <v>9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242</v>
      </c>
      <c r="Y33" s="69" t="n">
        <v>24</v>
      </c>
      <c r="Z33" s="70">
        <f>X33+Y33</f>
        <v/>
      </c>
      <c r="AA33" s="71" t="n">
        <v>195</v>
      </c>
      <c r="AB33" s="71" t="n">
        <v>15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Clara Patricia Pangandaheng</t>
        </is>
      </c>
      <c r="C34" s="57" t="inlineStr">
        <is>
          <t>pangandahengclara11@gmail.com</t>
        </is>
      </c>
      <c r="D34" s="57" t="inlineStr">
        <is>
          <t>PCL</t>
        </is>
      </c>
      <c r="E34" s="57" t="inlineStr">
        <is>
          <t>(060) TABUKAN SELATAN</t>
        </is>
      </c>
      <c r="F34" s="58" t="n">
        <v>259</v>
      </c>
      <c r="G34" s="58" t="n">
        <v>35</v>
      </c>
      <c r="H34" s="59">
        <f>F34+G34</f>
        <v/>
      </c>
      <c r="I34" s="60" t="n">
        <v>43</v>
      </c>
      <c r="J34" s="60" t="n">
        <v>25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43</v>
      </c>
      <c r="P34" s="64" t="n">
        <v>48</v>
      </c>
      <c r="Q34" s="65">
        <f>P34-O34</f>
        <v/>
      </c>
      <c r="R34" s="66" t="n">
        <v>25</v>
      </c>
      <c r="S34" s="66" t="n">
        <v>4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237</v>
      </c>
      <c r="Y34" s="69" t="n">
        <v>33</v>
      </c>
      <c r="Z34" s="70">
        <f>X34+Y34</f>
        <v/>
      </c>
      <c r="AA34" s="71" t="n">
        <v>194</v>
      </c>
      <c r="AB34" s="71" t="n">
        <v>8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Claudia Angelia Adam</t>
        </is>
      </c>
      <c r="C35" s="57" t="inlineStr">
        <is>
          <t>adamclaudia06@gmail.com</t>
        </is>
      </c>
      <c r="D35" s="57" t="inlineStr">
        <is>
          <t>PCL</t>
        </is>
      </c>
      <c r="E35" s="57" t="inlineStr">
        <is>
          <t>(090) TAHUNA</t>
        </is>
      </c>
      <c r="F35" s="58" t="n">
        <v>338</v>
      </c>
      <c r="G35" s="58" t="n">
        <v>22</v>
      </c>
      <c r="H35" s="59">
        <f>F35+G35</f>
        <v/>
      </c>
      <c r="I35" s="60" t="n">
        <v>87</v>
      </c>
      <c r="J35" s="60" t="n">
        <v>10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87</v>
      </c>
      <c r="P35" s="64" t="n">
        <v>43</v>
      </c>
      <c r="Q35" s="65">
        <f>P35-O35</f>
        <v/>
      </c>
      <c r="R35" s="66" t="n">
        <v>10</v>
      </c>
      <c r="S35" s="66" t="n">
        <v>0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258</v>
      </c>
      <c r="Y35" s="69" t="n">
        <v>13</v>
      </c>
      <c r="Z35" s="70">
        <f>X35+Y35</f>
        <v/>
      </c>
      <c r="AA35" s="71" t="n">
        <v>171</v>
      </c>
      <c r="AB35" s="71" t="n">
        <v>3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Dayan Abdullah</t>
        </is>
      </c>
      <c r="C36" s="57" t="inlineStr">
        <is>
          <t>dayan.abdullah86@gmail.com</t>
        </is>
      </c>
      <c r="D36" s="57" t="inlineStr">
        <is>
          <t>PCL</t>
        </is>
      </c>
      <c r="E36" s="57" t="inlineStr">
        <is>
          <t>(100) TABUKAN UTARA</t>
        </is>
      </c>
      <c r="F36" s="58" t="n">
        <v>343</v>
      </c>
      <c r="G36" s="58" t="n">
        <v>31</v>
      </c>
      <c r="H36" s="59">
        <f>F36+G36</f>
        <v/>
      </c>
      <c r="I36" s="60" t="n">
        <v>30</v>
      </c>
      <c r="J36" s="60" t="n">
        <v>16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30</v>
      </c>
      <c r="P36" s="64" t="n">
        <v>56</v>
      </c>
      <c r="Q36" s="65">
        <f>P36-O36</f>
        <v/>
      </c>
      <c r="R36" s="66" t="n">
        <v>16</v>
      </c>
      <c r="S36" s="66" t="n">
        <v>2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230</v>
      </c>
      <c r="Y36" s="69" t="n">
        <v>22</v>
      </c>
      <c r="Z36" s="70">
        <f>X36+Y36</f>
        <v/>
      </c>
      <c r="AA36" s="71" t="n">
        <v>200</v>
      </c>
      <c r="AB36" s="71" t="n">
        <v>6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Deisye Reine Budiman</t>
        </is>
      </c>
      <c r="C37" s="57" t="inlineStr">
        <is>
          <t>deisyebudiman549@gmail.com</t>
        </is>
      </c>
      <c r="D37" s="57" t="inlineStr">
        <is>
          <t>PCL</t>
        </is>
      </c>
      <c r="E37" s="57" t="inlineStr">
        <is>
          <t>(080) MANGANITU</t>
        </is>
      </c>
      <c r="F37" s="58" t="n">
        <v>330</v>
      </c>
      <c r="G37" s="58" t="n">
        <v>25</v>
      </c>
      <c r="H37" s="59">
        <f>F37+G37</f>
        <v/>
      </c>
      <c r="I37" s="60" t="n">
        <v>40</v>
      </c>
      <c r="J37" s="60" t="n">
        <v>10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40</v>
      </c>
      <c r="P37" s="64" t="n">
        <v>39</v>
      </c>
      <c r="Q37" s="65">
        <f>P37-O37</f>
        <v/>
      </c>
      <c r="R37" s="66" t="n">
        <v>10</v>
      </c>
      <c r="S37" s="66" t="n">
        <v>8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226</v>
      </c>
      <c r="Y37" s="69" t="n">
        <v>20</v>
      </c>
      <c r="Z37" s="70">
        <f>X37+Y37</f>
        <v/>
      </c>
      <c r="AA37" s="71" t="n">
        <v>186</v>
      </c>
      <c r="AB37" s="71" t="n">
        <v>10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Derlan Malawere</t>
        </is>
      </c>
      <c r="C38" s="57" t="inlineStr">
        <is>
          <t>derlanmalawere92@gmail.com</t>
        </is>
      </c>
      <c r="D38" s="57" t="inlineStr">
        <is>
          <t>PML</t>
        </is>
      </c>
      <c r="E38" s="57" t="inlineStr">
        <is>
          <t>(100) TABUKAN UTARA &amp; (102) KEPULAUAN MARORE</t>
        </is>
      </c>
      <c r="F38" s="58" t="n">
        <v>2078</v>
      </c>
      <c r="G38" s="58" t="n">
        <v>235</v>
      </c>
      <c r="H38" s="59">
        <f>F38+G38</f>
        <v/>
      </c>
      <c r="I38" s="60" t="n">
        <v>296</v>
      </c>
      <c r="J38" s="60" t="n">
        <v>113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296</v>
      </c>
      <c r="P38" s="64" t="n">
        <v>268</v>
      </c>
      <c r="Q38" s="65">
        <f>P38-O38</f>
        <v/>
      </c>
      <c r="R38" s="66" t="n">
        <v>113</v>
      </c>
      <c r="S38" s="66" t="n">
        <v>28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1506</v>
      </c>
      <c r="Y38" s="69" t="n">
        <v>193</v>
      </c>
      <c r="Z38" s="70">
        <f>X38+Y38</f>
        <v/>
      </c>
      <c r="AA38" s="71" t="n">
        <v>1210</v>
      </c>
      <c r="AB38" s="71" t="n">
        <v>80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Dince Lahaube</t>
        </is>
      </c>
      <c r="C39" s="57" t="inlineStr">
        <is>
          <t>dincelahaube09@gmail.com</t>
        </is>
      </c>
      <c r="D39" s="57" t="inlineStr">
        <is>
          <t>PCL</t>
        </is>
      </c>
      <c r="E39" s="57" t="inlineStr">
        <is>
          <t>(041) TATOARENG</t>
        </is>
      </c>
      <c r="F39" s="58" t="n">
        <v>294</v>
      </c>
      <c r="G39" s="58" t="n">
        <v>15</v>
      </c>
      <c r="H39" s="59">
        <f>F39+G39</f>
        <v/>
      </c>
      <c r="I39" s="60" t="n">
        <v>45</v>
      </c>
      <c r="J39" s="60" t="n">
        <v>2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45</v>
      </c>
      <c r="P39" s="64" t="n">
        <v>9</v>
      </c>
      <c r="Q39" s="65">
        <f>P39-O39</f>
        <v/>
      </c>
      <c r="R39" s="66" t="n">
        <v>2</v>
      </c>
      <c r="S39" s="66" t="n">
        <v>0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164</v>
      </c>
      <c r="Y39" s="69" t="n">
        <v>7</v>
      </c>
      <c r="Z39" s="70">
        <f>X39+Y39</f>
        <v/>
      </c>
      <c r="AA39" s="71" t="n">
        <v>119</v>
      </c>
      <c r="AB39" s="71" t="n">
        <v>5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Don Albert Seimahuira</t>
        </is>
      </c>
      <c r="C40" s="57" t="inlineStr">
        <is>
          <t>ungkealbert39@gmail.com</t>
        </is>
      </c>
      <c r="D40" s="57" t="inlineStr">
        <is>
          <t>PCL</t>
        </is>
      </c>
      <c r="E40" s="57" t="inlineStr">
        <is>
          <t>(090) TAHUNA</t>
        </is>
      </c>
      <c r="F40" s="58" t="n">
        <v>337</v>
      </c>
      <c r="G40" s="58" t="n">
        <v>27</v>
      </c>
      <c r="H40" s="59">
        <f>F40+G40</f>
        <v/>
      </c>
      <c r="I40" s="60" t="n">
        <v>54</v>
      </c>
      <c r="J40" s="60" t="n">
        <v>6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54</v>
      </c>
      <c r="P40" s="64" t="n">
        <v>50</v>
      </c>
      <c r="Q40" s="65">
        <f>P40-O40</f>
        <v/>
      </c>
      <c r="R40" s="66" t="n">
        <v>6</v>
      </c>
      <c r="S40" s="66" t="n">
        <v>12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258</v>
      </c>
      <c r="Y40" s="69" t="n">
        <v>21</v>
      </c>
      <c r="Z40" s="70">
        <f>X40+Y40</f>
        <v/>
      </c>
      <c r="AA40" s="71" t="n">
        <v>204</v>
      </c>
      <c r="AB40" s="71" t="n">
        <v>15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Eka Saputri Rusmain</t>
        </is>
      </c>
      <c r="C41" s="57" t="inlineStr">
        <is>
          <t>puteka038@gmail.com</t>
        </is>
      </c>
      <c r="D41" s="57" t="inlineStr">
        <is>
          <t>PCL</t>
        </is>
      </c>
      <c r="E41" s="57" t="inlineStr">
        <is>
          <t>(110) KENDAHE</t>
        </is>
      </c>
      <c r="F41" s="58" t="n">
        <v>394</v>
      </c>
      <c r="G41" s="58" t="n">
        <v>52</v>
      </c>
      <c r="H41" s="59">
        <f>F41+G41</f>
        <v/>
      </c>
      <c r="I41" s="60" t="n">
        <v>63</v>
      </c>
      <c r="J41" s="60" t="n">
        <v>19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63</v>
      </c>
      <c r="P41" s="64" t="n">
        <v>47</v>
      </c>
      <c r="Q41" s="65">
        <f>P41-O41</f>
        <v/>
      </c>
      <c r="R41" s="66" t="n">
        <v>19</v>
      </c>
      <c r="S41" s="66" t="n">
        <v>8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275</v>
      </c>
      <c r="Y41" s="69" t="n">
        <v>38</v>
      </c>
      <c r="Z41" s="70">
        <f>X41+Y41</f>
        <v/>
      </c>
      <c r="AA41" s="71" t="n">
        <v>212</v>
      </c>
      <c r="AB41" s="71" t="n">
        <v>19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Elan Chrisye Ansar</t>
        </is>
      </c>
      <c r="C42" s="57" t="inlineStr">
        <is>
          <t>ellan87ansar@gmail.com</t>
        </is>
      </c>
      <c r="D42" s="57" t="inlineStr">
        <is>
          <t>PCL</t>
        </is>
      </c>
      <c r="E42" s="57" t="inlineStr">
        <is>
          <t>(061) TABUKAN SELATAN TENGAH &amp; (062) TABUKAN SELATAN TENGGARA</t>
        </is>
      </c>
      <c r="F42" s="58" t="n">
        <v>251</v>
      </c>
      <c r="G42" s="58" t="n">
        <v>43</v>
      </c>
      <c r="H42" s="59">
        <f>F42+G42</f>
        <v/>
      </c>
      <c r="I42" s="60" t="n">
        <v>36</v>
      </c>
      <c r="J42" s="60" t="n">
        <v>12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36</v>
      </c>
      <c r="P42" s="64" t="n">
        <v>32</v>
      </c>
      <c r="Q42" s="65">
        <f>P42-O42</f>
        <v/>
      </c>
      <c r="R42" s="66" t="n">
        <v>12</v>
      </c>
      <c r="S42" s="66" t="n">
        <v>10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166</v>
      </c>
      <c r="Y42" s="69" t="n">
        <v>23</v>
      </c>
      <c r="Z42" s="70">
        <f>X42+Y42</f>
        <v/>
      </c>
      <c r="AA42" s="71" t="n">
        <v>130</v>
      </c>
      <c r="AB42" s="71" t="n">
        <v>11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Erin Fernanda Wenas</t>
        </is>
      </c>
      <c r="C43" s="57" t="inlineStr">
        <is>
          <t>wenaserin@gmail.com</t>
        </is>
      </c>
      <c r="D43" s="57" t="inlineStr">
        <is>
          <t>PCL</t>
        </is>
      </c>
      <c r="E43" s="57" t="inlineStr">
        <is>
          <t>(090) TAHUNA</t>
        </is>
      </c>
      <c r="F43" s="58" t="n">
        <v>324</v>
      </c>
      <c r="G43" s="58" t="n">
        <v>58</v>
      </c>
      <c r="H43" s="59">
        <f>F43+G43</f>
        <v/>
      </c>
      <c r="I43" s="60" t="n">
        <v>63</v>
      </c>
      <c r="J43" s="60" t="n">
        <v>21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63</v>
      </c>
      <c r="P43" s="64" t="n">
        <v>50</v>
      </c>
      <c r="Q43" s="65">
        <f>P43-O43</f>
        <v/>
      </c>
      <c r="R43" s="66" t="n">
        <v>21</v>
      </c>
      <c r="S43" s="66" t="n">
        <v>19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222</v>
      </c>
      <c r="Y43" s="69" t="n">
        <v>50</v>
      </c>
      <c r="Z43" s="70">
        <f>X43+Y43</f>
        <v/>
      </c>
      <c r="AA43" s="71" t="n">
        <v>159</v>
      </c>
      <c r="AB43" s="71" t="n">
        <v>29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Eugenia Ariani Tamakaenge</t>
        </is>
      </c>
      <c r="C44" s="57" t="inlineStr">
        <is>
          <t>eugeniaarianit@gmail.com</t>
        </is>
      </c>
      <c r="D44" s="57" t="inlineStr">
        <is>
          <t>PCL</t>
        </is>
      </c>
      <c r="E44" s="57" t="inlineStr">
        <is>
          <t>(092) TAHUNA BARAT</t>
        </is>
      </c>
      <c r="F44" s="58" t="n">
        <v>409</v>
      </c>
      <c r="G44" s="58" t="n">
        <v>49</v>
      </c>
      <c r="H44" s="59">
        <f>F44+G44</f>
        <v/>
      </c>
      <c r="I44" s="60" t="n">
        <v>56</v>
      </c>
      <c r="J44" s="60" t="n">
        <v>17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56</v>
      </c>
      <c r="P44" s="64" t="n">
        <v>16</v>
      </c>
      <c r="Q44" s="65">
        <f>P44-O44</f>
        <v/>
      </c>
      <c r="R44" s="66" t="n">
        <v>17</v>
      </c>
      <c r="S44" s="66" t="n">
        <v>4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312</v>
      </c>
      <c r="Y44" s="69" t="n">
        <v>37</v>
      </c>
      <c r="Z44" s="70">
        <f>X44+Y44</f>
        <v/>
      </c>
      <c r="AA44" s="71" t="n">
        <v>256</v>
      </c>
      <c r="AB44" s="71" t="n">
        <v>20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Evita Beatrix Nanlohy</t>
        </is>
      </c>
      <c r="C45" s="57" t="inlineStr">
        <is>
          <t>evitananlohy29@gmail.com</t>
        </is>
      </c>
      <c r="D45" s="57" t="inlineStr">
        <is>
          <t>PCL</t>
        </is>
      </c>
      <c r="E45" s="57" t="inlineStr">
        <is>
          <t>(092) TAHUNA BARAT</t>
        </is>
      </c>
      <c r="F45" s="58" t="n">
        <v>407</v>
      </c>
      <c r="G45" s="58" t="n">
        <v>34</v>
      </c>
      <c r="H45" s="59">
        <f>F45+G45</f>
        <v/>
      </c>
      <c r="I45" s="60" t="n">
        <v>46</v>
      </c>
      <c r="J45" s="60" t="n">
        <v>16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46</v>
      </c>
      <c r="P45" s="64" t="n">
        <v>19</v>
      </c>
      <c r="Q45" s="65">
        <f>P45-O45</f>
        <v/>
      </c>
      <c r="R45" s="66" t="n">
        <v>16</v>
      </c>
      <c r="S45" s="66" t="n">
        <v>3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266</v>
      </c>
      <c r="Y45" s="69" t="n">
        <v>23</v>
      </c>
      <c r="Z45" s="70">
        <f>X45+Y45</f>
        <v/>
      </c>
      <c r="AA45" s="71" t="n">
        <v>220</v>
      </c>
      <c r="AB45" s="71" t="n">
        <v>7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Fadli Samalam</t>
        </is>
      </c>
      <c r="C46" s="57" t="inlineStr">
        <is>
          <t>fadlysamalam052@gmail.com</t>
        </is>
      </c>
      <c r="D46" s="57" t="inlineStr">
        <is>
          <t>PCL</t>
        </is>
      </c>
      <c r="E46" s="57" t="inlineStr">
        <is>
          <t>(100) TABUKAN UTARA</t>
        </is>
      </c>
      <c r="F46" s="58" t="n">
        <v>372</v>
      </c>
      <c r="G46" s="58" t="n">
        <v>16</v>
      </c>
      <c r="H46" s="59">
        <f>F46+G46</f>
        <v/>
      </c>
      <c r="I46" s="60" t="n">
        <v>39</v>
      </c>
      <c r="J46" s="60" t="n">
        <v>8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39</v>
      </c>
      <c r="P46" s="64" t="n">
        <v>41</v>
      </c>
      <c r="Q46" s="65">
        <f>P46-O46</f>
        <v/>
      </c>
      <c r="R46" s="66" t="n">
        <v>8</v>
      </c>
      <c r="S46" s="66" t="n">
        <v>3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304</v>
      </c>
      <c r="Y46" s="69" t="n">
        <v>14</v>
      </c>
      <c r="Z46" s="70">
        <f>X46+Y46</f>
        <v/>
      </c>
      <c r="AA46" s="71" t="n">
        <v>265</v>
      </c>
      <c r="AB46" s="71" t="n">
        <v>6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Ferdinand Tangkabiringan</t>
        </is>
      </c>
      <c r="C47" s="57" t="inlineStr">
        <is>
          <t>ferdinandtangkabiringan@gmail.com</t>
        </is>
      </c>
      <c r="D47" s="57" t="inlineStr">
        <is>
          <t>PML</t>
        </is>
      </c>
      <c r="E47" s="57" t="inlineStr">
        <is>
          <t>(090) TAHUNA</t>
        </is>
      </c>
      <c r="F47" s="58" t="n">
        <v>1907</v>
      </c>
      <c r="G47" s="58" t="n">
        <v>384</v>
      </c>
      <c r="H47" s="59">
        <f>F47+G47</f>
        <v/>
      </c>
      <c r="I47" s="60" t="n">
        <v>316</v>
      </c>
      <c r="J47" s="60" t="n">
        <v>120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316</v>
      </c>
      <c r="P47" s="64" t="n">
        <v>230</v>
      </c>
      <c r="Q47" s="65">
        <f>P47-O47</f>
        <v/>
      </c>
      <c r="R47" s="66" t="n">
        <v>120</v>
      </c>
      <c r="S47" s="66" t="n">
        <v>73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1350</v>
      </c>
      <c r="Y47" s="69" t="n">
        <v>277</v>
      </c>
      <c r="Z47" s="70">
        <f>X47+Y47</f>
        <v/>
      </c>
      <c r="AA47" s="71" t="n">
        <v>1034</v>
      </c>
      <c r="AB47" s="71" t="n">
        <v>157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Fernando Bielly Sindua</t>
        </is>
      </c>
      <c r="C48" s="57" t="inlineStr">
        <is>
          <t>biellysindua@gmail.com</t>
        </is>
      </c>
      <c r="D48" s="57" t="inlineStr">
        <is>
          <t>PCL</t>
        </is>
      </c>
      <c r="E48" s="57" t="inlineStr">
        <is>
          <t>(091) TAHUNA TIMUR</t>
        </is>
      </c>
      <c r="F48" s="58" t="n">
        <v>335</v>
      </c>
      <c r="G48" s="58" t="n">
        <v>61</v>
      </c>
      <c r="H48" s="59">
        <f>F48+G48</f>
        <v/>
      </c>
      <c r="I48" s="60" t="n">
        <v>96</v>
      </c>
      <c r="J48" s="60" t="n">
        <v>30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96</v>
      </c>
      <c r="P48" s="64" t="n">
        <v>47</v>
      </c>
      <c r="Q48" s="65">
        <f>P48-O48</f>
        <v/>
      </c>
      <c r="R48" s="66" t="n">
        <v>30</v>
      </c>
      <c r="S48" s="66" t="n">
        <v>2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226</v>
      </c>
      <c r="Y48" s="69" t="n">
        <v>36</v>
      </c>
      <c r="Z48" s="70">
        <f>X48+Y48</f>
        <v/>
      </c>
      <c r="AA48" s="71" t="n">
        <v>130</v>
      </c>
      <c r="AB48" s="71" t="n">
        <v>6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Feybe Ayuninsi Patandra</t>
        </is>
      </c>
      <c r="C49" s="57" t="inlineStr">
        <is>
          <t>patandrafeybeayuninsi@gmail.com</t>
        </is>
      </c>
      <c r="D49" s="57" t="inlineStr">
        <is>
          <t>PCL</t>
        </is>
      </c>
      <c r="E49" s="57" t="inlineStr">
        <is>
          <t>(041) TATOARENG</t>
        </is>
      </c>
      <c r="F49" s="58" t="n">
        <v>347</v>
      </c>
      <c r="G49" s="58" t="n">
        <v>18</v>
      </c>
      <c r="H49" s="59">
        <f>F49+G49</f>
        <v/>
      </c>
      <c r="I49" s="60" t="n">
        <v>85</v>
      </c>
      <c r="J49" s="60" t="n">
        <v>2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85</v>
      </c>
      <c r="P49" s="64" t="n">
        <v>29</v>
      </c>
      <c r="Q49" s="65">
        <f>P49-O49</f>
        <v/>
      </c>
      <c r="R49" s="66" t="n">
        <v>2</v>
      </c>
      <c r="S49" s="66" t="n">
        <v>0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325</v>
      </c>
      <c r="Y49" s="69" t="n">
        <v>11</v>
      </c>
      <c r="Z49" s="70">
        <f>X49+Y49</f>
        <v/>
      </c>
      <c r="AA49" s="71" t="n">
        <v>240</v>
      </c>
      <c r="AB49" s="71" t="n">
        <v>9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Fiane Greti Mansauda</t>
        </is>
      </c>
      <c r="C50" s="57" t="inlineStr">
        <is>
          <t>fianemansauda89@gmail.com</t>
        </is>
      </c>
      <c r="D50" s="57" t="inlineStr">
        <is>
          <t>PML</t>
        </is>
      </c>
      <c r="E50" s="57" t="inlineStr">
        <is>
          <t>(070) TABUKAN TENGAH</t>
        </is>
      </c>
      <c r="F50" s="58" t="n">
        <v>1865</v>
      </c>
      <c r="G50" s="58" t="n">
        <v>155</v>
      </c>
      <c r="H50" s="59">
        <f>F50+G50</f>
        <v/>
      </c>
      <c r="I50" s="60" t="n">
        <v>193</v>
      </c>
      <c r="J50" s="60" t="n">
        <v>36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193</v>
      </c>
      <c r="P50" s="64" t="n">
        <v>231</v>
      </c>
      <c r="Q50" s="65">
        <f>P50-O50</f>
        <v/>
      </c>
      <c r="R50" s="66" t="n">
        <v>36</v>
      </c>
      <c r="S50" s="66" t="n">
        <v>44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1089</v>
      </c>
      <c r="Y50" s="69" t="n">
        <v>114</v>
      </c>
      <c r="Z50" s="70">
        <f>X50+Y50</f>
        <v/>
      </c>
      <c r="AA50" s="71" t="n">
        <v>896</v>
      </c>
      <c r="AB50" s="71" t="n">
        <v>78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Fiona F. Adrian</t>
        </is>
      </c>
      <c r="C51" s="57" t="inlineStr">
        <is>
          <t>fionafinki@gmail.com</t>
        </is>
      </c>
      <c r="D51" s="57" t="inlineStr">
        <is>
          <t>PCL</t>
        </is>
      </c>
      <c r="E51" s="57" t="inlineStr">
        <is>
          <t>(060) TABUKAN SELATAN</t>
        </is>
      </c>
      <c r="F51" s="58" t="n">
        <v>313</v>
      </c>
      <c r="G51" s="58" t="n">
        <v>23</v>
      </c>
      <c r="H51" s="59">
        <f>F51+G51</f>
        <v/>
      </c>
      <c r="I51" s="60" t="n">
        <v>51</v>
      </c>
      <c r="J51" s="60" t="n">
        <v>6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51</v>
      </c>
      <c r="P51" s="64" t="n">
        <v>37</v>
      </c>
      <c r="Q51" s="65">
        <f>P51-O51</f>
        <v/>
      </c>
      <c r="R51" s="66" t="n">
        <v>6</v>
      </c>
      <c r="S51" s="66" t="n">
        <v>5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285</v>
      </c>
      <c r="Y51" s="69" t="n">
        <v>17</v>
      </c>
      <c r="Z51" s="70">
        <f>X51+Y51</f>
        <v/>
      </c>
      <c r="AA51" s="71" t="n">
        <v>234</v>
      </c>
      <c r="AB51" s="71" t="n">
        <v>11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Fitria Rianti Gorosita</t>
        </is>
      </c>
      <c r="C52" s="57" t="inlineStr">
        <is>
          <t>fitriagorosita19@gmail.com</t>
        </is>
      </c>
      <c r="D52" s="57" t="inlineStr">
        <is>
          <t>PCL</t>
        </is>
      </c>
      <c r="E52" s="57" t="inlineStr">
        <is>
          <t>(060) TABUKAN SELATAN</t>
        </is>
      </c>
      <c r="F52" s="58" t="n">
        <v>264</v>
      </c>
      <c r="G52" s="58" t="n">
        <v>38</v>
      </c>
      <c r="H52" s="59">
        <f>F52+G52</f>
        <v/>
      </c>
      <c r="I52" s="60" t="n">
        <v>28</v>
      </c>
      <c r="J52" s="60" t="n">
        <v>22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28</v>
      </c>
      <c r="P52" s="64" t="n">
        <v>42</v>
      </c>
      <c r="Q52" s="65">
        <f>P52-O52</f>
        <v/>
      </c>
      <c r="R52" s="66" t="n">
        <v>22</v>
      </c>
      <c r="S52" s="66" t="n">
        <v>4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258</v>
      </c>
      <c r="Y52" s="69" t="n">
        <v>33</v>
      </c>
      <c r="Z52" s="70">
        <f>X52+Y52</f>
        <v/>
      </c>
      <c r="AA52" s="71" t="n">
        <v>230</v>
      </c>
      <c r="AB52" s="71" t="n">
        <v>11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Fitriani Mandalurang</t>
        </is>
      </c>
      <c r="C53" s="57" t="inlineStr">
        <is>
          <t>fifimendalurang@gmail.com</t>
        </is>
      </c>
      <c r="D53" s="57" t="inlineStr">
        <is>
          <t>PCL</t>
        </is>
      </c>
      <c r="E53" s="57" t="inlineStr">
        <is>
          <t>(100) TABUKAN UTARA</t>
        </is>
      </c>
      <c r="F53" s="58" t="n">
        <v>260</v>
      </c>
      <c r="G53" s="58" t="n">
        <v>92</v>
      </c>
      <c r="H53" s="59">
        <f>F53+G53</f>
        <v/>
      </c>
      <c r="I53" s="60" t="n">
        <v>27</v>
      </c>
      <c r="J53" s="60" t="n">
        <v>26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27</v>
      </c>
      <c r="P53" s="64" t="n">
        <v>93</v>
      </c>
      <c r="Q53" s="65">
        <f>P53-O53</f>
        <v/>
      </c>
      <c r="R53" s="66" t="n">
        <v>26</v>
      </c>
      <c r="S53" s="66" t="n">
        <v>9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203</v>
      </c>
      <c r="Y53" s="69" t="n">
        <v>41</v>
      </c>
      <c r="Z53" s="70">
        <f>X53+Y53</f>
        <v/>
      </c>
      <c r="AA53" s="71" t="n">
        <v>176</v>
      </c>
      <c r="AB53" s="71" t="n">
        <v>15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Fransiska Paolin Tumbale</t>
        </is>
      </c>
      <c r="C54" s="57" t="inlineStr">
        <is>
          <t>fransiskapaolin@gmail.com</t>
        </is>
      </c>
      <c r="D54" s="57" t="inlineStr">
        <is>
          <t>PCL</t>
        </is>
      </c>
      <c r="E54" s="57" t="inlineStr">
        <is>
          <t>(092) TAHUNA BARAT</t>
        </is>
      </c>
      <c r="F54" s="58" t="n">
        <v>397</v>
      </c>
      <c r="G54" s="58" t="n">
        <v>36</v>
      </c>
      <c r="H54" s="59">
        <f>F54+G54</f>
        <v/>
      </c>
      <c r="I54" s="60" t="n">
        <v>53</v>
      </c>
      <c r="J54" s="60" t="n">
        <v>10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53</v>
      </c>
      <c r="P54" s="64" t="n">
        <v>21</v>
      </c>
      <c r="Q54" s="65">
        <f>P54-O54</f>
        <v/>
      </c>
      <c r="R54" s="66" t="n">
        <v>10</v>
      </c>
      <c r="S54" s="66" t="n">
        <v>1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266</v>
      </c>
      <c r="Y54" s="69" t="n">
        <v>18</v>
      </c>
      <c r="Z54" s="70">
        <f>X54+Y54</f>
        <v/>
      </c>
      <c r="AA54" s="71" t="n">
        <v>213</v>
      </c>
      <c r="AB54" s="71" t="n">
        <v>8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Fresly Jeica Manangkoda</t>
        </is>
      </c>
      <c r="C55" s="57" t="inlineStr">
        <is>
          <t>fmanangkoda12@gmail.com</t>
        </is>
      </c>
      <c r="D55" s="57" t="inlineStr">
        <is>
          <t>PML</t>
        </is>
      </c>
      <c r="E55" s="57" t="inlineStr">
        <is>
          <t>(050) TAMAKO</t>
        </is>
      </c>
      <c r="F55" s="58" t="n">
        <v>2079</v>
      </c>
      <c r="G55" s="58" t="n">
        <v>169</v>
      </c>
      <c r="H55" s="59">
        <f>F55+G55</f>
        <v/>
      </c>
      <c r="I55" s="60" t="n">
        <v>392</v>
      </c>
      <c r="J55" s="60" t="n">
        <v>83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392</v>
      </c>
      <c r="P55" s="64" t="n">
        <v>188</v>
      </c>
      <c r="Q55" s="65">
        <f>P55-O55</f>
        <v/>
      </c>
      <c r="R55" s="66" t="n">
        <v>83</v>
      </c>
      <c r="S55" s="66" t="n">
        <v>77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1667</v>
      </c>
      <c r="Y55" s="69" t="n">
        <v>197</v>
      </c>
      <c r="Z55" s="70">
        <f>X55+Y55</f>
        <v/>
      </c>
      <c r="AA55" s="71" t="n">
        <v>1275</v>
      </c>
      <c r="AB55" s="71" t="n">
        <v>114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Frezcilia Dewi Daleda</t>
        </is>
      </c>
      <c r="C56" s="57" t="inlineStr">
        <is>
          <t>frzfrz130293@gmail.com</t>
        </is>
      </c>
      <c r="D56" s="57" t="inlineStr">
        <is>
          <t>PCL</t>
        </is>
      </c>
      <c r="E56" s="57" t="inlineStr">
        <is>
          <t>(090) TAHUNA</t>
        </is>
      </c>
      <c r="F56" s="58" t="n">
        <v>322</v>
      </c>
      <c r="G56" s="58" t="n">
        <v>58</v>
      </c>
      <c r="H56" s="59">
        <f>F56+G56</f>
        <v/>
      </c>
      <c r="I56" s="60" t="n">
        <v>45</v>
      </c>
      <c r="J56" s="60" t="n">
        <v>27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45</v>
      </c>
      <c r="P56" s="64" t="n">
        <v>14</v>
      </c>
      <c r="Q56" s="65">
        <f>P56-O56</f>
        <v/>
      </c>
      <c r="R56" s="66" t="n">
        <v>27</v>
      </c>
      <c r="S56" s="66" t="n">
        <v>7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186</v>
      </c>
      <c r="Y56" s="69" t="n">
        <v>53</v>
      </c>
      <c r="Z56" s="70">
        <f>X56+Y56</f>
        <v/>
      </c>
      <c r="AA56" s="71" t="n">
        <v>141</v>
      </c>
      <c r="AB56" s="71" t="n">
        <v>26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Geno Pepa Paraso</t>
        </is>
      </c>
      <c r="C57" s="57" t="inlineStr">
        <is>
          <t>ghenovhepaparaso@gmail.com</t>
        </is>
      </c>
      <c r="D57" s="57" t="inlineStr">
        <is>
          <t>PCL</t>
        </is>
      </c>
      <c r="E57" s="57" t="inlineStr">
        <is>
          <t>(090) TAHUNA</t>
        </is>
      </c>
      <c r="F57" s="58" t="n">
        <v>201</v>
      </c>
      <c r="G57" s="58" t="n">
        <v>209</v>
      </c>
      <c r="H57" s="59">
        <f>F57+G57</f>
        <v/>
      </c>
      <c r="I57" s="60" t="n">
        <v>52</v>
      </c>
      <c r="J57" s="60" t="n">
        <v>69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52</v>
      </c>
      <c r="P57" s="64" t="n">
        <v>21</v>
      </c>
      <c r="Q57" s="65">
        <f>P57-O57</f>
        <v/>
      </c>
      <c r="R57" s="66" t="n">
        <v>69</v>
      </c>
      <c r="S57" s="66" t="n">
        <v>39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171</v>
      </c>
      <c r="Y57" s="69" t="n">
        <v>162</v>
      </c>
      <c r="Z57" s="70">
        <f>X57+Y57</f>
        <v/>
      </c>
      <c r="AA57" s="71" t="n">
        <v>119</v>
      </c>
      <c r="AB57" s="71" t="n">
        <v>93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George Muler Sasiang</t>
        </is>
      </c>
      <c r="C58" s="57" t="inlineStr">
        <is>
          <t>georgemulersasiangsasiang@gmail.com</t>
        </is>
      </c>
      <c r="D58" s="57" t="inlineStr">
        <is>
          <t>PML</t>
        </is>
      </c>
      <c r="E58" s="57" t="inlineStr">
        <is>
          <t>(090) TAHUNA</t>
        </is>
      </c>
      <c r="F58" s="58" t="n">
        <v>1691</v>
      </c>
      <c r="G58" s="58" t="n">
        <v>617</v>
      </c>
      <c r="H58" s="59">
        <f>F58+G58</f>
        <v/>
      </c>
      <c r="I58" s="60" t="n">
        <v>294</v>
      </c>
      <c r="J58" s="60" t="n">
        <v>110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294</v>
      </c>
      <c r="P58" s="64" t="n">
        <v>224</v>
      </c>
      <c r="Q58" s="65">
        <f>P58-O58</f>
        <v/>
      </c>
      <c r="R58" s="66" t="n">
        <v>110</v>
      </c>
      <c r="S58" s="66" t="n">
        <v>178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1149</v>
      </c>
      <c r="Y58" s="69" t="n">
        <v>376</v>
      </c>
      <c r="Z58" s="70">
        <f>X58+Y58</f>
        <v/>
      </c>
      <c r="AA58" s="71" t="n">
        <v>855</v>
      </c>
      <c r="AB58" s="71" t="n">
        <v>266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Geovani Marchiano Monok</t>
        </is>
      </c>
      <c r="C59" s="57" t="inlineStr">
        <is>
          <t>geovanimonok34@gmail.com</t>
        </is>
      </c>
      <c r="D59" s="57" t="inlineStr">
        <is>
          <t>PCL</t>
        </is>
      </c>
      <c r="E59" s="57" t="inlineStr">
        <is>
          <t>(080) MANGANITU</t>
        </is>
      </c>
      <c r="F59" s="58" t="n">
        <v>328</v>
      </c>
      <c r="G59" s="58" t="n">
        <v>27</v>
      </c>
      <c r="H59" s="59">
        <f>F59+G59</f>
        <v/>
      </c>
      <c r="I59" s="60" t="n">
        <v>49</v>
      </c>
      <c r="J59" s="60" t="n">
        <v>9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49</v>
      </c>
      <c r="P59" s="64" t="n">
        <v>20</v>
      </c>
      <c r="Q59" s="65">
        <f>P59-O59</f>
        <v/>
      </c>
      <c r="R59" s="66" t="n">
        <v>9</v>
      </c>
      <c r="S59" s="66" t="n">
        <v>0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214</v>
      </c>
      <c r="Y59" s="69" t="n">
        <v>13</v>
      </c>
      <c r="Z59" s="70">
        <f>X59+Y59</f>
        <v/>
      </c>
      <c r="AA59" s="71" t="n">
        <v>165</v>
      </c>
      <c r="AB59" s="71" t="n">
        <v>4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Glenn Christi Palembang</t>
        </is>
      </c>
      <c r="C60" s="57" t="inlineStr">
        <is>
          <t>palembangglenn@gmail.com</t>
        </is>
      </c>
      <c r="D60" s="57" t="inlineStr">
        <is>
          <t>PCL</t>
        </is>
      </c>
      <c r="E60" s="57" t="inlineStr">
        <is>
          <t>(050) TAMAKO</t>
        </is>
      </c>
      <c r="F60" s="58" t="n">
        <v>344</v>
      </c>
      <c r="G60" s="58" t="n">
        <v>13</v>
      </c>
      <c r="H60" s="59">
        <f>F60+G60</f>
        <v/>
      </c>
      <c r="I60" s="60" t="n">
        <v>103</v>
      </c>
      <c r="J60" s="60" t="n">
        <v>10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103</v>
      </c>
      <c r="P60" s="64" t="n">
        <v>6</v>
      </c>
      <c r="Q60" s="65">
        <f>P60-O60</f>
        <v/>
      </c>
      <c r="R60" s="66" t="n">
        <v>10</v>
      </c>
      <c r="S60" s="66" t="n">
        <v>6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303</v>
      </c>
      <c r="Y60" s="69" t="n">
        <v>18</v>
      </c>
      <c r="Z60" s="70">
        <f>X60+Y60</f>
        <v/>
      </c>
      <c r="AA60" s="71" t="n">
        <v>200</v>
      </c>
      <c r="AB60" s="71" t="n">
        <v>8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Grace Dorongpangalo</t>
        </is>
      </c>
      <c r="C61" s="57" t="inlineStr">
        <is>
          <t>gracedorongpangalo11@gmail.com</t>
        </is>
      </c>
      <c r="D61" s="57" t="inlineStr">
        <is>
          <t>PCL</t>
        </is>
      </c>
      <c r="E61" s="57" t="inlineStr">
        <is>
          <t>(070) TABUKAN TENGAH</t>
        </is>
      </c>
      <c r="F61" s="58" t="n">
        <v>343</v>
      </c>
      <c r="G61" s="58" t="n">
        <v>27</v>
      </c>
      <c r="H61" s="59">
        <f>F61+G61</f>
        <v/>
      </c>
      <c r="I61" s="60" t="n">
        <v>29</v>
      </c>
      <c r="J61" s="60" t="n">
        <v>8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29</v>
      </c>
      <c r="P61" s="64" t="n">
        <v>37</v>
      </c>
      <c r="Q61" s="65">
        <f>P61-O61</f>
        <v/>
      </c>
      <c r="R61" s="66" t="n">
        <v>8</v>
      </c>
      <c r="S61" s="66" t="n">
        <v>10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199</v>
      </c>
      <c r="Y61" s="69" t="n">
        <v>24</v>
      </c>
      <c r="Z61" s="70">
        <f>X61+Y61</f>
        <v/>
      </c>
      <c r="AA61" s="71" t="n">
        <v>170</v>
      </c>
      <c r="AB61" s="71" t="n">
        <v>16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Grees Pangandaheng</t>
        </is>
      </c>
      <c r="C62" s="57" t="inlineStr">
        <is>
          <t>greispangandaheng@gmail.com</t>
        </is>
      </c>
      <c r="D62" s="57" t="inlineStr">
        <is>
          <t>PCL</t>
        </is>
      </c>
      <c r="E62" s="57" t="inlineStr">
        <is>
          <t>(050) TAMAKO</t>
        </is>
      </c>
      <c r="F62" s="58" t="n">
        <v>395</v>
      </c>
      <c r="G62" s="58" t="n">
        <v>8</v>
      </c>
      <c r="H62" s="59">
        <f>F62+G62</f>
        <v/>
      </c>
      <c r="I62" s="60" t="n">
        <v>112</v>
      </c>
      <c r="J62" s="60" t="n">
        <v>3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112</v>
      </c>
      <c r="P62" s="64" t="n">
        <v>60</v>
      </c>
      <c r="Q62" s="65">
        <f>P62-O62</f>
        <v/>
      </c>
      <c r="R62" s="66" t="n">
        <v>3</v>
      </c>
      <c r="S62" s="66" t="n">
        <v>9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321</v>
      </c>
      <c r="Y62" s="69" t="n">
        <v>14</v>
      </c>
      <c r="Z62" s="70">
        <f>X62+Y62</f>
        <v/>
      </c>
      <c r="AA62" s="71" t="n">
        <v>209</v>
      </c>
      <c r="AB62" s="71" t="n">
        <v>11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Hasrita Hamenda</t>
        </is>
      </c>
      <c r="C63" s="57" t="inlineStr">
        <is>
          <t>hamendahasrita@gmail.com</t>
        </is>
      </c>
      <c r="D63" s="57" t="inlineStr">
        <is>
          <t>PCL</t>
        </is>
      </c>
      <c r="E63" s="57" t="inlineStr">
        <is>
          <t>(100) TABUKAN UTARA</t>
        </is>
      </c>
      <c r="F63" s="58" t="n">
        <v>322</v>
      </c>
      <c r="G63" s="58" t="n">
        <v>32</v>
      </c>
      <c r="H63" s="59">
        <f>F63+G63</f>
        <v/>
      </c>
      <c r="I63" s="60" t="n">
        <v>36</v>
      </c>
      <c r="J63" s="60" t="n">
        <v>9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36</v>
      </c>
      <c r="P63" s="64" t="n">
        <v>53</v>
      </c>
      <c r="Q63" s="65">
        <f>P63-O63</f>
        <v/>
      </c>
      <c r="R63" s="66" t="n">
        <v>9</v>
      </c>
      <c r="S63" s="66" t="n">
        <v>5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256</v>
      </c>
      <c r="Y63" s="69" t="n">
        <v>23</v>
      </c>
      <c r="Z63" s="70">
        <f>X63+Y63</f>
        <v/>
      </c>
      <c r="AA63" s="71" t="n">
        <v>220</v>
      </c>
      <c r="AB63" s="71" t="n">
        <v>14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Hastuti Manabung</t>
        </is>
      </c>
      <c r="C64" s="57" t="inlineStr">
        <is>
          <t>hmanabung01@gmail.com</t>
        </is>
      </c>
      <c r="D64" s="57" t="inlineStr">
        <is>
          <t>PML</t>
        </is>
      </c>
      <c r="E64" s="57" t="inlineStr">
        <is>
          <t>(110) KENDAHE</t>
        </is>
      </c>
      <c r="F64" s="58" t="n">
        <v>2170</v>
      </c>
      <c r="G64" s="58" t="n">
        <v>246</v>
      </c>
      <c r="H64" s="59">
        <f>F64+G64</f>
        <v/>
      </c>
      <c r="I64" s="60" t="n">
        <v>288</v>
      </c>
      <c r="J64" s="60" t="n">
        <v>78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288</v>
      </c>
      <c r="P64" s="64" t="n">
        <v>223</v>
      </c>
      <c r="Q64" s="65">
        <f>P64-O64</f>
        <v/>
      </c>
      <c r="R64" s="66" t="n">
        <v>78</v>
      </c>
      <c r="S64" s="66" t="n">
        <v>58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1475</v>
      </c>
      <c r="Y64" s="69" t="n">
        <v>193</v>
      </c>
      <c r="Z64" s="70">
        <f>X64+Y64</f>
        <v/>
      </c>
      <c r="AA64" s="71" t="n">
        <v>1187</v>
      </c>
      <c r="AB64" s="71" t="n">
        <v>115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Iramaya Sasiang</t>
        </is>
      </c>
      <c r="C65" s="57" t="inlineStr">
        <is>
          <t>sasiangmaya80@gmail.com</t>
        </is>
      </c>
      <c r="D65" s="57" t="inlineStr">
        <is>
          <t>PCL</t>
        </is>
      </c>
      <c r="E65" s="57" t="inlineStr">
        <is>
          <t>(102) KEPULAUAN MARORE</t>
        </is>
      </c>
      <c r="F65" s="58" t="n">
        <v>411</v>
      </c>
      <c r="G65" s="58" t="n">
        <v>41</v>
      </c>
      <c r="H65" s="59">
        <f>F65+G65</f>
        <v/>
      </c>
      <c r="I65" s="60" t="n">
        <v>43</v>
      </c>
      <c r="J65" s="60" t="n">
        <v>18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43</v>
      </c>
      <c r="P65" s="64" t="n">
        <v>35</v>
      </c>
      <c r="Q65" s="65">
        <f>P65-O65</f>
        <v/>
      </c>
      <c r="R65" s="66" t="n">
        <v>18</v>
      </c>
      <c r="S65" s="66" t="n">
        <v>7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194</v>
      </c>
      <c r="Y65" s="69" t="n">
        <v>41</v>
      </c>
      <c r="Z65" s="70">
        <f>X65+Y65</f>
        <v/>
      </c>
      <c r="AA65" s="71" t="n">
        <v>151</v>
      </c>
      <c r="AB65" s="71" t="n">
        <v>23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Ivan Christian Sasenga</t>
        </is>
      </c>
      <c r="C66" s="57" t="inlineStr">
        <is>
          <t>sasengaivan@gmail.com</t>
        </is>
      </c>
      <c r="D66" s="57" t="inlineStr">
        <is>
          <t>PCL</t>
        </is>
      </c>
      <c r="E66" s="57" t="inlineStr">
        <is>
          <t>(090) TAHUNA</t>
        </is>
      </c>
      <c r="F66" s="58" t="n">
        <v>340</v>
      </c>
      <c r="G66" s="58" t="n">
        <v>57</v>
      </c>
      <c r="H66" s="59">
        <f>F66+G66</f>
        <v/>
      </c>
      <c r="I66" s="60" t="n">
        <v>58</v>
      </c>
      <c r="J66" s="60" t="n">
        <v>13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58</v>
      </c>
      <c r="P66" s="64" t="n">
        <v>53</v>
      </c>
      <c r="Q66" s="65">
        <f>P66-O66</f>
        <v/>
      </c>
      <c r="R66" s="66" t="n">
        <v>13</v>
      </c>
      <c r="S66" s="66" t="n">
        <v>5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200</v>
      </c>
      <c r="Y66" s="69" t="n">
        <v>28</v>
      </c>
      <c r="Z66" s="70">
        <f>X66+Y66</f>
        <v/>
      </c>
      <c r="AA66" s="71" t="n">
        <v>142</v>
      </c>
      <c r="AB66" s="71" t="n">
        <v>15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Ivonne Lariunaung</t>
        </is>
      </c>
      <c r="C67" s="57" t="inlineStr">
        <is>
          <t>vonnelariunaung77560@gmail.com</t>
        </is>
      </c>
      <c r="D67" s="57" t="inlineStr">
        <is>
          <t>PML</t>
        </is>
      </c>
      <c r="E67" s="57" t="inlineStr">
        <is>
          <t>(091) TAHUNA TIMUR</t>
        </is>
      </c>
      <c r="F67" s="58" t="n">
        <v>2266</v>
      </c>
      <c r="G67" s="58" t="n">
        <v>301</v>
      </c>
      <c r="H67" s="59">
        <f>F67+G67</f>
        <v/>
      </c>
      <c r="I67" s="60" t="n">
        <v>369</v>
      </c>
      <c r="J67" s="60" t="n">
        <v>89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369</v>
      </c>
      <c r="P67" s="64" t="n">
        <v>257</v>
      </c>
      <c r="Q67" s="65">
        <f>P67-O67</f>
        <v/>
      </c>
      <c r="R67" s="66" t="n">
        <v>89</v>
      </c>
      <c r="S67" s="66" t="n">
        <v>37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1658</v>
      </c>
      <c r="Y67" s="69" t="n">
        <v>187</v>
      </c>
      <c r="Z67" s="70">
        <f>X67+Y67</f>
        <v/>
      </c>
      <c r="AA67" s="71" t="n">
        <v>1289</v>
      </c>
      <c r="AB67" s="71" t="n">
        <v>98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Jeferson Manahampi</t>
        </is>
      </c>
      <c r="C68" s="57" t="inlineStr">
        <is>
          <t>manahampijeferson94@gmail.com</t>
        </is>
      </c>
      <c r="D68" s="57" t="inlineStr">
        <is>
          <t>PML</t>
        </is>
      </c>
      <c r="E68" s="57" t="inlineStr">
        <is>
          <t>(040) MANGANITU SELATAN</t>
        </is>
      </c>
      <c r="F68" s="58" t="n">
        <v>1518</v>
      </c>
      <c r="G68" s="58" t="n">
        <v>229</v>
      </c>
      <c r="H68" s="59">
        <f>F68+G68</f>
        <v/>
      </c>
      <c r="I68" s="60" t="n">
        <v>174</v>
      </c>
      <c r="J68" s="60" t="n">
        <v>71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174</v>
      </c>
      <c r="P68" s="64" t="n">
        <v>227</v>
      </c>
      <c r="Q68" s="65">
        <f>P68-O68</f>
        <v/>
      </c>
      <c r="R68" s="66" t="n">
        <v>71</v>
      </c>
      <c r="S68" s="66" t="n">
        <v>37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1229</v>
      </c>
      <c r="Y68" s="69" t="n">
        <v>154</v>
      </c>
      <c r="Z68" s="70">
        <f>X68+Y68</f>
        <v/>
      </c>
      <c r="AA68" s="71" t="n">
        <v>1055</v>
      </c>
      <c r="AB68" s="71" t="n">
        <v>83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Jeisy Dolongseda</t>
        </is>
      </c>
      <c r="C69" s="57" t="inlineStr">
        <is>
          <t>dolongsedajeisyprechilya@gmail.com</t>
        </is>
      </c>
      <c r="D69" s="57" t="inlineStr">
        <is>
          <t>PCL</t>
        </is>
      </c>
      <c r="E69" s="57" t="inlineStr">
        <is>
          <t>(070) TABUKAN TENGAH</t>
        </is>
      </c>
      <c r="F69" s="58" t="n">
        <v>292</v>
      </c>
      <c r="G69" s="58" t="n">
        <v>14</v>
      </c>
      <c r="H69" s="59">
        <f>F69+G69</f>
        <v/>
      </c>
      <c r="I69" s="60" t="n">
        <v>31</v>
      </c>
      <c r="J69" s="60" t="n">
        <v>1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31</v>
      </c>
      <c r="P69" s="64" t="n">
        <v>31</v>
      </c>
      <c r="Q69" s="65">
        <f>P69-O69</f>
        <v/>
      </c>
      <c r="R69" s="66" t="n">
        <v>1</v>
      </c>
      <c r="S69" s="66" t="n">
        <v>1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174</v>
      </c>
      <c r="Y69" s="69" t="n">
        <v>6</v>
      </c>
      <c r="Z69" s="70">
        <f>X69+Y69</f>
        <v/>
      </c>
      <c r="AA69" s="71" t="n">
        <v>143</v>
      </c>
      <c r="AB69" s="71" t="n">
        <v>5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Jekir Venkil Dompas</t>
        </is>
      </c>
      <c r="C70" s="57" t="inlineStr">
        <is>
          <t>jekirvenkildompas@gmail.com</t>
        </is>
      </c>
      <c r="D70" s="57" t="inlineStr">
        <is>
          <t>PML</t>
        </is>
      </c>
      <c r="E70" s="57" t="inlineStr">
        <is>
          <t>(060) TABUKAN SELATAN &amp; (070) TABUKAN TENGAH</t>
        </is>
      </c>
      <c r="F70" s="58" t="n">
        <v>1763</v>
      </c>
      <c r="G70" s="58" t="n">
        <v>212</v>
      </c>
      <c r="H70" s="59">
        <f>F70+G70</f>
        <v/>
      </c>
      <c r="I70" s="60" t="n">
        <v>261</v>
      </c>
      <c r="J70" s="60" t="n">
        <v>77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261</v>
      </c>
      <c r="P70" s="64" t="n">
        <v>252</v>
      </c>
      <c r="Q70" s="65">
        <f>P70-O70</f>
        <v/>
      </c>
      <c r="R70" s="66" t="n">
        <v>77</v>
      </c>
      <c r="S70" s="66" t="n">
        <v>29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1153</v>
      </c>
      <c r="Y70" s="69" t="n">
        <v>161</v>
      </c>
      <c r="Z70" s="70">
        <f>X70+Y70</f>
        <v/>
      </c>
      <c r="AA70" s="71" t="n">
        <v>892</v>
      </c>
      <c r="AB70" s="71" t="n">
        <v>84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Jeklen Malage Dalita</t>
        </is>
      </c>
      <c r="C71" s="57" t="inlineStr">
        <is>
          <t>jeklendalita158@gmail.com</t>
        </is>
      </c>
      <c r="D71" s="57" t="inlineStr">
        <is>
          <t>PCL</t>
        </is>
      </c>
      <c r="E71" s="57" t="inlineStr">
        <is>
          <t>(070) TABUKAN TENGAH</t>
        </is>
      </c>
      <c r="F71" s="58" t="n">
        <v>308</v>
      </c>
      <c r="G71" s="58" t="n">
        <v>44</v>
      </c>
      <c r="H71" s="59">
        <f>F71+G71</f>
        <v/>
      </c>
      <c r="I71" s="60" t="n">
        <v>27</v>
      </c>
      <c r="J71" s="60" t="n">
        <v>8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27</v>
      </c>
      <c r="P71" s="64" t="n">
        <v>37</v>
      </c>
      <c r="Q71" s="65">
        <f>P71-O71</f>
        <v/>
      </c>
      <c r="R71" s="66" t="n">
        <v>8</v>
      </c>
      <c r="S71" s="66" t="n">
        <v>11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171</v>
      </c>
      <c r="Y71" s="69" t="n">
        <v>22</v>
      </c>
      <c r="Z71" s="70">
        <f>X71+Y71</f>
        <v/>
      </c>
      <c r="AA71" s="71" t="n">
        <v>144</v>
      </c>
      <c r="AB71" s="71" t="n">
        <v>14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Jeklin Andris</t>
        </is>
      </c>
      <c r="C72" s="57" t="inlineStr">
        <is>
          <t>jeklinandris98@gmail.com</t>
        </is>
      </c>
      <c r="D72" s="57" t="inlineStr">
        <is>
          <t>PCL</t>
        </is>
      </c>
      <c r="E72" s="57" t="inlineStr">
        <is>
          <t>(040) MANGANITU SELATAN</t>
        </is>
      </c>
      <c r="F72" s="58" t="n">
        <v>325</v>
      </c>
      <c r="G72" s="58" t="n">
        <v>53</v>
      </c>
      <c r="H72" s="59">
        <f>F72+G72</f>
        <v/>
      </c>
      <c r="I72" s="60" t="n">
        <v>21</v>
      </c>
      <c r="J72" s="60" t="n">
        <v>23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21</v>
      </c>
      <c r="P72" s="64" t="n">
        <v>29</v>
      </c>
      <c r="Q72" s="65">
        <f>P72-O72</f>
        <v/>
      </c>
      <c r="R72" s="66" t="n">
        <v>23</v>
      </c>
      <c r="S72" s="66" t="n">
        <v>22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236</v>
      </c>
      <c r="Y72" s="69" t="n">
        <v>62</v>
      </c>
      <c r="Z72" s="70">
        <f>X72+Y72</f>
        <v/>
      </c>
      <c r="AA72" s="71" t="n">
        <v>215</v>
      </c>
      <c r="AB72" s="71" t="n">
        <v>39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Jenie Oktavin Rahmawati Monok</t>
        </is>
      </c>
      <c r="C73" s="57" t="inlineStr">
        <is>
          <t>jeniemonok7@gmail.com</t>
        </is>
      </c>
      <c r="D73" s="57" t="inlineStr">
        <is>
          <t>PML</t>
        </is>
      </c>
      <c r="E73" s="57" t="inlineStr">
        <is>
          <t>(091) TAHUNA TIMUR</t>
        </is>
      </c>
      <c r="F73" s="58" t="n">
        <v>1774</v>
      </c>
      <c r="G73" s="58" t="n">
        <v>264</v>
      </c>
      <c r="H73" s="59">
        <f>F73+G73</f>
        <v/>
      </c>
      <c r="I73" s="60" t="n">
        <v>332</v>
      </c>
      <c r="J73" s="60" t="n">
        <v>90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332</v>
      </c>
      <c r="P73" s="64" t="n">
        <v>186</v>
      </c>
      <c r="Q73" s="65">
        <f>P73-O73</f>
        <v/>
      </c>
      <c r="R73" s="66" t="n">
        <v>90</v>
      </c>
      <c r="S73" s="66" t="n">
        <v>46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1224</v>
      </c>
      <c r="Y73" s="69" t="n">
        <v>165</v>
      </c>
      <c r="Z73" s="70">
        <f>X73+Y73</f>
        <v/>
      </c>
      <c r="AA73" s="71" t="n">
        <v>892</v>
      </c>
      <c r="AB73" s="71" t="n">
        <v>75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Johny Steven Manoppo</t>
        </is>
      </c>
      <c r="C74" s="57" t="inlineStr">
        <is>
          <t>stevenmanoppo36@gmail.com</t>
        </is>
      </c>
      <c r="D74" s="57" t="inlineStr">
        <is>
          <t>PML</t>
        </is>
      </c>
      <c r="E74" s="57" t="inlineStr">
        <is>
          <t>(040) MANGANITU SELATAN</t>
        </is>
      </c>
      <c r="F74" s="58" t="n">
        <v>1541</v>
      </c>
      <c r="G74" s="58" t="n">
        <v>279</v>
      </c>
      <c r="H74" s="59">
        <f>F74+G74</f>
        <v/>
      </c>
      <c r="I74" s="60" t="n">
        <v>260</v>
      </c>
      <c r="J74" s="60" t="n">
        <v>99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260</v>
      </c>
      <c r="P74" s="64" t="n">
        <v>163</v>
      </c>
      <c r="Q74" s="65">
        <f>P74-O74</f>
        <v/>
      </c>
      <c r="R74" s="66" t="n">
        <v>99</v>
      </c>
      <c r="S74" s="66" t="n">
        <v>23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1361</v>
      </c>
      <c r="Y74" s="69" t="n">
        <v>216</v>
      </c>
      <c r="Z74" s="70">
        <f>X74+Y74</f>
        <v/>
      </c>
      <c r="AA74" s="71" t="n">
        <v>1101</v>
      </c>
      <c r="AB74" s="71" t="n">
        <v>117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Juanric Eben Misarios Rakinaung</t>
        </is>
      </c>
      <c r="C75" s="57" t="inlineStr">
        <is>
          <t>juanricrakinaung@gmail.com</t>
        </is>
      </c>
      <c r="D75" s="57" t="inlineStr">
        <is>
          <t>PCL</t>
        </is>
      </c>
      <c r="E75" s="57" t="inlineStr">
        <is>
          <t>(040) MANGANITU SELATAN</t>
        </is>
      </c>
      <c r="F75" s="58" t="n">
        <v>296</v>
      </c>
      <c r="G75" s="58" t="n">
        <v>12</v>
      </c>
      <c r="H75" s="59">
        <f>F75+G75</f>
        <v/>
      </c>
      <c r="I75" s="60" t="n">
        <v>19</v>
      </c>
      <c r="J75" s="60" t="n">
        <v>8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19</v>
      </c>
      <c r="P75" s="64" t="n">
        <v>19</v>
      </c>
      <c r="Q75" s="65">
        <f>P75-O75</f>
        <v/>
      </c>
      <c r="R75" s="66" t="n">
        <v>8</v>
      </c>
      <c r="S75" s="66" t="n">
        <v>2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175</v>
      </c>
      <c r="Y75" s="69" t="n">
        <v>12</v>
      </c>
      <c r="Z75" s="70">
        <f>X75+Y75</f>
        <v/>
      </c>
      <c r="AA75" s="71" t="n">
        <v>156</v>
      </c>
      <c r="AB75" s="71" t="n">
        <v>4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Juldrike Tuwohingide</t>
        </is>
      </c>
      <c r="C76" s="57" t="inlineStr">
        <is>
          <t>juldriketuwohingide@gmail.com</t>
        </is>
      </c>
      <c r="D76" s="57" t="inlineStr">
        <is>
          <t>PCL</t>
        </is>
      </c>
      <c r="E76" s="57" t="inlineStr">
        <is>
          <t>(050) TAMAKO</t>
        </is>
      </c>
      <c r="F76" s="58" t="n">
        <v>328</v>
      </c>
      <c r="G76" s="58" t="n">
        <v>30</v>
      </c>
      <c r="H76" s="59">
        <f>F76+G76</f>
        <v/>
      </c>
      <c r="I76" s="60" t="n">
        <v>34</v>
      </c>
      <c r="J76" s="60" t="n">
        <v>14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34</v>
      </c>
      <c r="P76" s="64" t="n">
        <v>52</v>
      </c>
      <c r="Q76" s="65">
        <f>P76-O76</f>
        <v/>
      </c>
      <c r="R76" s="66" t="n">
        <v>14</v>
      </c>
      <c r="S76" s="66" t="n">
        <v>12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267</v>
      </c>
      <c r="Y76" s="69" t="n">
        <v>30</v>
      </c>
      <c r="Z76" s="70">
        <f>X76+Y76</f>
        <v/>
      </c>
      <c r="AA76" s="71" t="n">
        <v>233</v>
      </c>
      <c r="AB76" s="71" t="n">
        <v>16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Julianty Thesa Takaredase</t>
        </is>
      </c>
      <c r="C77" s="57" t="inlineStr">
        <is>
          <t>echaatakaredase@gmail.com</t>
        </is>
      </c>
      <c r="D77" s="57" t="inlineStr">
        <is>
          <t>PCL</t>
        </is>
      </c>
      <c r="E77" s="57" t="inlineStr">
        <is>
          <t>(080) MANGANITU</t>
        </is>
      </c>
      <c r="F77" s="58" t="n">
        <v>321</v>
      </c>
      <c r="G77" s="58" t="n">
        <v>40</v>
      </c>
      <c r="H77" s="59">
        <f>F77+G77</f>
        <v/>
      </c>
      <c r="I77" s="60" t="n">
        <v>24</v>
      </c>
      <c r="J77" s="60" t="n">
        <v>20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24</v>
      </c>
      <c r="P77" s="64" t="n">
        <v>44</v>
      </c>
      <c r="Q77" s="65">
        <f>P77-O77</f>
        <v/>
      </c>
      <c r="R77" s="66" t="n">
        <v>20</v>
      </c>
      <c r="S77" s="66" t="n">
        <v>8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188</v>
      </c>
      <c r="Y77" s="69" t="n">
        <v>37</v>
      </c>
      <c r="Z77" s="70">
        <f>X77+Y77</f>
        <v/>
      </c>
      <c r="AA77" s="71" t="n">
        <v>164</v>
      </c>
      <c r="AB77" s="71" t="n">
        <v>17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Junisye Ignes Boham</t>
        </is>
      </c>
      <c r="C78" s="57" t="inlineStr">
        <is>
          <t>nisyeignes@gmail.com</t>
        </is>
      </c>
      <c r="D78" s="57" t="inlineStr">
        <is>
          <t>PCL</t>
        </is>
      </c>
      <c r="E78" s="57" t="inlineStr">
        <is>
          <t>(090) TAHUNA</t>
        </is>
      </c>
      <c r="F78" s="58" t="n">
        <v>329</v>
      </c>
      <c r="G78" s="58" t="n">
        <v>77</v>
      </c>
      <c r="H78" s="59">
        <f>F78+G78</f>
        <v/>
      </c>
      <c r="I78" s="60" t="n">
        <v>57</v>
      </c>
      <c r="J78" s="60" t="n">
        <v>33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57</v>
      </c>
      <c r="P78" s="64" t="n">
        <v>50</v>
      </c>
      <c r="Q78" s="65">
        <f>P78-O78</f>
        <v/>
      </c>
      <c r="R78" s="66" t="n">
        <v>33</v>
      </c>
      <c r="S78" s="66" t="n">
        <v>16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221</v>
      </c>
      <c r="Y78" s="69" t="n">
        <v>59</v>
      </c>
      <c r="Z78" s="70">
        <f>X78+Y78</f>
        <v/>
      </c>
      <c r="AA78" s="71" t="n">
        <v>164</v>
      </c>
      <c r="AB78" s="71" t="n">
        <v>26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Kesya Syalomita Pangeke</t>
        </is>
      </c>
      <c r="C79" s="57" t="inlineStr">
        <is>
          <t>kesyapangeke@gmail.com</t>
        </is>
      </c>
      <c r="D79" s="57" t="inlineStr">
        <is>
          <t>PCL</t>
        </is>
      </c>
      <c r="E79" s="57" t="inlineStr">
        <is>
          <t>(040) MANGANITU SELATAN</t>
        </is>
      </c>
      <c r="F79" s="58" t="n">
        <v>366</v>
      </c>
      <c r="G79" s="58" t="n">
        <v>44</v>
      </c>
      <c r="H79" s="59">
        <f>F79+G79</f>
        <v/>
      </c>
      <c r="I79" s="60" t="n">
        <v>48</v>
      </c>
      <c r="J79" s="60" t="n">
        <v>18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48</v>
      </c>
      <c r="P79" s="64" t="n">
        <v>37</v>
      </c>
      <c r="Q79" s="65">
        <f>P79-O79</f>
        <v/>
      </c>
      <c r="R79" s="66" t="n">
        <v>18</v>
      </c>
      <c r="S79" s="66" t="n">
        <v>2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274</v>
      </c>
      <c r="Y79" s="69" t="n">
        <v>37</v>
      </c>
      <c r="Z79" s="70">
        <f>X79+Y79</f>
        <v/>
      </c>
      <c r="AA79" s="71" t="n">
        <v>226</v>
      </c>
      <c r="AB79" s="71" t="n">
        <v>19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Kezia Maralending</t>
        </is>
      </c>
      <c r="C80" s="57" t="inlineStr">
        <is>
          <t>kmaralending@gmail.com</t>
        </is>
      </c>
      <c r="D80" s="57" t="inlineStr">
        <is>
          <t>PML</t>
        </is>
      </c>
      <c r="E80" s="57" t="inlineStr">
        <is>
          <t>(041) TATOARENG</t>
        </is>
      </c>
      <c r="F80" s="58" t="n">
        <v>1133</v>
      </c>
      <c r="G80" s="58" t="n">
        <v>131</v>
      </c>
      <c r="H80" s="59">
        <f>F80+G80</f>
        <v/>
      </c>
      <c r="I80" s="60" t="n">
        <v>203</v>
      </c>
      <c r="J80" s="60" t="n">
        <v>39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203</v>
      </c>
      <c r="P80" s="64" t="n">
        <v>108</v>
      </c>
      <c r="Q80" s="65">
        <f>P80-O80</f>
        <v/>
      </c>
      <c r="R80" s="66" t="n">
        <v>39</v>
      </c>
      <c r="S80" s="66" t="n">
        <v>2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841</v>
      </c>
      <c r="Y80" s="69" t="n">
        <v>67</v>
      </c>
      <c r="Z80" s="70">
        <f>X80+Y80</f>
        <v/>
      </c>
      <c r="AA80" s="71" t="n">
        <v>638</v>
      </c>
      <c r="AB80" s="71" t="n">
        <v>28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Kristia Mirnawati Tumpias</t>
        </is>
      </c>
      <c r="C81" s="57" t="inlineStr">
        <is>
          <t>tumpiask@gmail.com</t>
        </is>
      </c>
      <c r="D81" s="57" t="inlineStr">
        <is>
          <t>PCL</t>
        </is>
      </c>
      <c r="E81" s="57" t="inlineStr">
        <is>
          <t>(040) MANGANITU SELATAN</t>
        </is>
      </c>
      <c r="F81" s="58" t="n">
        <v>273</v>
      </c>
      <c r="G81" s="58" t="n">
        <v>30</v>
      </c>
      <c r="H81" s="59">
        <f>F81+G81</f>
        <v/>
      </c>
      <c r="I81" s="60" t="n">
        <v>65</v>
      </c>
      <c r="J81" s="60" t="n">
        <v>13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65</v>
      </c>
      <c r="P81" s="64" t="n">
        <v>56</v>
      </c>
      <c r="Q81" s="65">
        <f>P81-O81</f>
        <v/>
      </c>
      <c r="R81" s="66" t="n">
        <v>13</v>
      </c>
      <c r="S81" s="66" t="n">
        <v>5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268</v>
      </c>
      <c r="Y81" s="69" t="n">
        <v>34</v>
      </c>
      <c r="Z81" s="70">
        <f>X81+Y81</f>
        <v/>
      </c>
      <c r="AA81" s="71" t="n">
        <v>203</v>
      </c>
      <c r="AB81" s="71" t="n">
        <v>21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Leonardo Rio Patras</t>
        </is>
      </c>
      <c r="C82" s="57" t="inlineStr">
        <is>
          <t>opopatras41@gmail.com</t>
        </is>
      </c>
      <c r="D82" s="57" t="inlineStr">
        <is>
          <t>PCL</t>
        </is>
      </c>
      <c r="E82" s="57" t="inlineStr">
        <is>
          <t>(090) TAHUNA</t>
        </is>
      </c>
      <c r="F82" s="58" t="n">
        <v>182</v>
      </c>
      <c r="G82" s="58" t="n">
        <v>196</v>
      </c>
      <c r="H82" s="59">
        <f>F82+G82</f>
        <v/>
      </c>
      <c r="I82" s="60" t="n">
        <v>28</v>
      </c>
      <c r="J82" s="60" t="n">
        <v>16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28</v>
      </c>
      <c r="P82" s="64" t="n">
        <v>21</v>
      </c>
      <c r="Q82" s="65">
        <f>P82-O82</f>
        <v/>
      </c>
      <c r="R82" s="66" t="n">
        <v>16</v>
      </c>
      <c r="S82" s="66" t="n">
        <v>57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174</v>
      </c>
      <c r="Y82" s="69" t="n">
        <v>88</v>
      </c>
      <c r="Z82" s="70">
        <f>X82+Y82</f>
        <v/>
      </c>
      <c r="AA82" s="71" t="n">
        <v>146</v>
      </c>
      <c r="AB82" s="71" t="n">
        <v>72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Linda Yunice Amal</t>
        </is>
      </c>
      <c r="C83" s="57" t="inlineStr">
        <is>
          <t>lindaamal24@gmail.com</t>
        </is>
      </c>
      <c r="D83" s="57" t="inlineStr">
        <is>
          <t>PCL</t>
        </is>
      </c>
      <c r="E83" s="57" t="inlineStr">
        <is>
          <t>(070) TABUKAN TENGAH</t>
        </is>
      </c>
      <c r="F83" s="58" t="n">
        <v>288</v>
      </c>
      <c r="G83" s="58" t="n">
        <v>22</v>
      </c>
      <c r="H83" s="59">
        <f>F83+G83</f>
        <v/>
      </c>
      <c r="I83" s="60" t="n">
        <v>83</v>
      </c>
      <c r="J83" s="60" t="n">
        <v>10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83</v>
      </c>
      <c r="P83" s="64" t="n">
        <v>28</v>
      </c>
      <c r="Q83" s="65">
        <f>P83-O83</f>
        <v/>
      </c>
      <c r="R83" s="66" t="n">
        <v>10</v>
      </c>
      <c r="S83" s="66" t="n">
        <v>8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205</v>
      </c>
      <c r="Y83" s="69" t="n">
        <v>23</v>
      </c>
      <c r="Z83" s="70">
        <f>X83+Y83</f>
        <v/>
      </c>
      <c r="AA83" s="71" t="n">
        <v>122</v>
      </c>
      <c r="AB83" s="71" t="n">
        <v>13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Mabelkhan Ladorang</t>
        </is>
      </c>
      <c r="C84" s="57" t="inlineStr">
        <is>
          <t>mabelkhanladorang777@gmail.com</t>
        </is>
      </c>
      <c r="D84" s="57" t="inlineStr">
        <is>
          <t>PCL</t>
        </is>
      </c>
      <c r="E84" s="57" t="inlineStr">
        <is>
          <t>(061) TABUKAN SELATAN TENGAH &amp; (062) TABUKAN SELATAN TENGGARA</t>
        </is>
      </c>
      <c r="F84" s="58" t="n">
        <v>253</v>
      </c>
      <c r="G84" s="58" t="n">
        <v>26</v>
      </c>
      <c r="H84" s="59">
        <f>F84+G84</f>
        <v/>
      </c>
      <c r="I84" s="60" t="n">
        <v>11</v>
      </c>
      <c r="J84" s="60" t="n">
        <v>9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11</v>
      </c>
      <c r="P84" s="64" t="n">
        <v>11</v>
      </c>
      <c r="Q84" s="65">
        <f>P84-O84</f>
        <v/>
      </c>
      <c r="R84" s="66" t="n">
        <v>9</v>
      </c>
      <c r="S84" s="66" t="n">
        <v>1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135</v>
      </c>
      <c r="Y84" s="69" t="n">
        <v>13</v>
      </c>
      <c r="Z84" s="70">
        <f>X84+Y84</f>
        <v/>
      </c>
      <c r="AA84" s="71" t="n">
        <v>124</v>
      </c>
      <c r="AB84" s="71" t="n">
        <v>4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Maknany Sasiang</t>
        </is>
      </c>
      <c r="C85" s="57" t="inlineStr">
        <is>
          <t>maknany.sasiang@gmail.com</t>
        </is>
      </c>
      <c r="D85" s="57" t="inlineStr">
        <is>
          <t>PCL</t>
        </is>
      </c>
      <c r="E85" s="57" t="inlineStr">
        <is>
          <t>(090) TAHUNA</t>
        </is>
      </c>
      <c r="F85" s="58" t="n">
        <v>292</v>
      </c>
      <c r="G85" s="58" t="n">
        <v>81</v>
      </c>
      <c r="H85" s="59">
        <f>F85+G85</f>
        <v/>
      </c>
      <c r="I85" s="60" t="n">
        <v>59</v>
      </c>
      <c r="J85" s="60" t="n">
        <v>22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59</v>
      </c>
      <c r="P85" s="64" t="n">
        <v>16</v>
      </c>
      <c r="Q85" s="65">
        <f>P85-O85</f>
        <v/>
      </c>
      <c r="R85" s="66" t="n">
        <v>22</v>
      </c>
      <c r="S85" s="66" t="n">
        <v>14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236</v>
      </c>
      <c r="Y85" s="69" t="n">
        <v>56</v>
      </c>
      <c r="Z85" s="70">
        <f>X85+Y85</f>
        <v/>
      </c>
      <c r="AA85" s="71" t="n">
        <v>177</v>
      </c>
      <c r="AB85" s="71" t="n">
        <v>34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Marisye Silpia Limpong</t>
        </is>
      </c>
      <c r="C86" s="57" t="inlineStr">
        <is>
          <t>marisyelimpong@gmail.com</t>
        </is>
      </c>
      <c r="D86" s="57" t="inlineStr">
        <is>
          <t>PCL</t>
        </is>
      </c>
      <c r="E86" s="57" t="inlineStr">
        <is>
          <t>(080) MANGANITU</t>
        </is>
      </c>
      <c r="F86" s="58" t="n">
        <v>304</v>
      </c>
      <c r="G86" s="58" t="n">
        <v>53</v>
      </c>
      <c r="H86" s="59">
        <f>F86+G86</f>
        <v/>
      </c>
      <c r="I86" s="60" t="n">
        <v>105</v>
      </c>
      <c r="J86" s="60" t="n">
        <v>3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105</v>
      </c>
      <c r="P86" s="64" t="n">
        <v>28</v>
      </c>
      <c r="Q86" s="65">
        <f>P86-O86</f>
        <v/>
      </c>
      <c r="R86" s="66" t="n">
        <v>3</v>
      </c>
      <c r="S86" s="66" t="n">
        <v>5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219</v>
      </c>
      <c r="Y86" s="69" t="n">
        <v>12</v>
      </c>
      <c r="Z86" s="70">
        <f>X86+Y86</f>
        <v/>
      </c>
      <c r="AA86" s="71" t="n">
        <v>114</v>
      </c>
      <c r="AB86" s="71" t="n">
        <v>9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Marwesley Iverson Matheos</t>
        </is>
      </c>
      <c r="C87" s="57" t="inlineStr">
        <is>
          <t>matheosmarwesley@gmail.com</t>
        </is>
      </c>
      <c r="D87" s="57" t="inlineStr">
        <is>
          <t>PCL</t>
        </is>
      </c>
      <c r="E87" s="57" t="inlineStr">
        <is>
          <t>(070) TABUKAN TENGAH</t>
        </is>
      </c>
      <c r="F87" s="58" t="n">
        <v>323</v>
      </c>
      <c r="G87" s="58" t="n">
        <v>18</v>
      </c>
      <c r="H87" s="59">
        <f>F87+G87</f>
        <v/>
      </c>
      <c r="I87" s="60" t="n">
        <v>21</v>
      </c>
      <c r="J87" s="60" t="n">
        <v>1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21</v>
      </c>
      <c r="P87" s="64" t="n">
        <v>31</v>
      </c>
      <c r="Q87" s="65">
        <f>P87-O87</f>
        <v/>
      </c>
      <c r="R87" s="66" t="n">
        <v>1</v>
      </c>
      <c r="S87" s="66" t="n">
        <v>1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167</v>
      </c>
      <c r="Y87" s="69" t="n">
        <v>3</v>
      </c>
      <c r="Z87" s="70">
        <f>X87+Y87</f>
        <v/>
      </c>
      <c r="AA87" s="71" t="n">
        <v>146</v>
      </c>
      <c r="AB87" s="71" t="n">
        <v>2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Meisye Fransiska Samau</t>
        </is>
      </c>
      <c r="C88" s="57" t="inlineStr">
        <is>
          <t>meisyesamau32@gmail.com</t>
        </is>
      </c>
      <c r="D88" s="57" t="inlineStr">
        <is>
          <t>PCL</t>
        </is>
      </c>
      <c r="E88" s="57" t="inlineStr">
        <is>
          <t>(060) TABUKAN SELATAN</t>
        </is>
      </c>
      <c r="F88" s="58" t="n">
        <v>283</v>
      </c>
      <c r="G88" s="58" t="n">
        <v>36</v>
      </c>
      <c r="H88" s="59">
        <f>F88+G88</f>
        <v/>
      </c>
      <c r="I88" s="60" t="n">
        <v>57</v>
      </c>
      <c r="J88" s="60" t="n">
        <v>9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57</v>
      </c>
      <c r="P88" s="64" t="n">
        <v>59</v>
      </c>
      <c r="Q88" s="65">
        <f>P88-O88</f>
        <v/>
      </c>
      <c r="R88" s="66" t="n">
        <v>9</v>
      </c>
      <c r="S88" s="66" t="n">
        <v>5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272</v>
      </c>
      <c r="Y88" s="69" t="n">
        <v>31</v>
      </c>
      <c r="Z88" s="70">
        <f>X88+Y88</f>
        <v/>
      </c>
      <c r="AA88" s="71" t="n">
        <v>215</v>
      </c>
      <c r="AB88" s="71" t="n">
        <v>22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Meisye Miranti Salendeho</t>
        </is>
      </c>
      <c r="C89" s="57" t="inlineStr">
        <is>
          <t>meisyemirantisalendeho@gmail.com</t>
        </is>
      </c>
      <c r="D89" s="57" t="inlineStr">
        <is>
          <t>PCL</t>
        </is>
      </c>
      <c r="E89" s="57" t="inlineStr">
        <is>
          <t>(070) TABUKAN TENGAH</t>
        </is>
      </c>
      <c r="F89" s="58" t="n">
        <v>300</v>
      </c>
      <c r="G89" s="58" t="n">
        <v>36</v>
      </c>
      <c r="H89" s="59">
        <f>F89+G89</f>
        <v/>
      </c>
      <c r="I89" s="60" t="n">
        <v>19</v>
      </c>
      <c r="J89" s="60" t="n">
        <v>16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19</v>
      </c>
      <c r="P89" s="64" t="n">
        <v>47</v>
      </c>
      <c r="Q89" s="65">
        <f>P89-O89</f>
        <v/>
      </c>
      <c r="R89" s="66" t="n">
        <v>16</v>
      </c>
      <c r="S89" s="66" t="n">
        <v>4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212</v>
      </c>
      <c r="Y89" s="69" t="n">
        <v>24</v>
      </c>
      <c r="Z89" s="70">
        <f>X89+Y89</f>
        <v/>
      </c>
      <c r="AA89" s="71" t="n">
        <v>193</v>
      </c>
      <c r="AB89" s="71" t="n">
        <v>8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Merry Christiani Lano</t>
        </is>
      </c>
      <c r="C90" s="57" t="inlineStr">
        <is>
          <t>lanomerrych@gmail.com</t>
        </is>
      </c>
      <c r="D90" s="57" t="inlineStr">
        <is>
          <t>PCL</t>
        </is>
      </c>
      <c r="E90" s="57" t="inlineStr">
        <is>
          <t>(050) TAMAKO</t>
        </is>
      </c>
      <c r="F90" s="58" t="n">
        <v>326</v>
      </c>
      <c r="G90" s="58" t="n">
        <v>67</v>
      </c>
      <c r="H90" s="59">
        <f>F90+G90</f>
        <v/>
      </c>
      <c r="I90" s="60" t="n">
        <v>100</v>
      </c>
      <c r="J90" s="60" t="n">
        <v>38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100</v>
      </c>
      <c r="P90" s="64" t="n">
        <v>38</v>
      </c>
      <c r="Q90" s="65">
        <f>P90-O90</f>
        <v/>
      </c>
      <c r="R90" s="66" t="n">
        <v>38</v>
      </c>
      <c r="S90" s="66" t="n">
        <v>23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320</v>
      </c>
      <c r="Y90" s="69" t="n">
        <v>62</v>
      </c>
      <c r="Z90" s="70">
        <f>X90+Y90</f>
        <v/>
      </c>
      <c r="AA90" s="71" t="n">
        <v>220</v>
      </c>
      <c r="AB90" s="71" t="n">
        <v>24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Meychindy Riane Takaheghesang</t>
        </is>
      </c>
      <c r="C91" s="57" t="inlineStr">
        <is>
          <t>chindytakaheghesang22@gmail.com</t>
        </is>
      </c>
      <c r="D91" s="57" t="inlineStr">
        <is>
          <t>PCL</t>
        </is>
      </c>
      <c r="E91" s="57" t="inlineStr">
        <is>
          <t>(060) TABUKAN SELATAN</t>
        </is>
      </c>
      <c r="F91" s="58" t="n">
        <v>147</v>
      </c>
      <c r="G91" s="58" t="n">
        <v>195</v>
      </c>
      <c r="H91" s="59">
        <f>F91+G91</f>
        <v/>
      </c>
      <c r="I91" s="60" t="n">
        <v>20</v>
      </c>
      <c r="J91" s="60" t="n">
        <v>37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20</v>
      </c>
      <c r="P91" s="64" t="n">
        <v>25</v>
      </c>
      <c r="Q91" s="65">
        <f>P91-O91</f>
        <v/>
      </c>
      <c r="R91" s="66" t="n">
        <v>37</v>
      </c>
      <c r="S91" s="66" t="n">
        <v>56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142</v>
      </c>
      <c r="Y91" s="69" t="n">
        <v>184</v>
      </c>
      <c r="Z91" s="70">
        <f>X91+Y91</f>
        <v/>
      </c>
      <c r="AA91" s="71" t="n">
        <v>122</v>
      </c>
      <c r="AB91" s="71" t="n">
        <v>147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Meyilandriane Herung</t>
        </is>
      </c>
      <c r="C92" s="57" t="inlineStr">
        <is>
          <t>meylandriane1@gmail.com</t>
        </is>
      </c>
      <c r="D92" s="57" t="inlineStr">
        <is>
          <t>PCL</t>
        </is>
      </c>
      <c r="E92" s="57" t="inlineStr">
        <is>
          <t>(061) TABUKAN SELATAN TENGAH</t>
        </is>
      </c>
      <c r="F92" s="58" t="n">
        <v>284</v>
      </c>
      <c r="G92" s="58" t="n">
        <v>17</v>
      </c>
      <c r="H92" s="59">
        <f>F92+G92</f>
        <v/>
      </c>
      <c r="I92" s="60" t="n">
        <v>25</v>
      </c>
      <c r="J92" s="60" t="n">
        <v>2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25</v>
      </c>
      <c r="P92" s="64" t="n">
        <v>22</v>
      </c>
      <c r="Q92" s="65">
        <f>P92-O92</f>
        <v/>
      </c>
      <c r="R92" s="66" t="n">
        <v>2</v>
      </c>
      <c r="S92" s="66" t="n">
        <v>0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232</v>
      </c>
      <c r="Y92" s="69" t="n">
        <v>7</v>
      </c>
      <c r="Z92" s="70">
        <f>X92+Y92</f>
        <v/>
      </c>
      <c r="AA92" s="71" t="n">
        <v>207</v>
      </c>
      <c r="AB92" s="71" t="n">
        <v>5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Misye Yosevin Pulumbara</t>
        </is>
      </c>
      <c r="C93" s="57" t="inlineStr">
        <is>
          <t>misye310580@gmail.com</t>
        </is>
      </c>
      <c r="D93" s="57" t="inlineStr">
        <is>
          <t>PCL</t>
        </is>
      </c>
      <c r="E93" s="57" t="inlineStr">
        <is>
          <t>(100) TABUKAN UTARA</t>
        </is>
      </c>
      <c r="F93" s="58" t="n">
        <v>363</v>
      </c>
      <c r="G93" s="58" t="n">
        <v>10</v>
      </c>
      <c r="H93" s="59">
        <f>F93+G93</f>
        <v/>
      </c>
      <c r="I93" s="60" t="n">
        <v>47</v>
      </c>
      <c r="J93" s="60" t="n">
        <v>8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47</v>
      </c>
      <c r="P93" s="64" t="n">
        <v>42</v>
      </c>
      <c r="Q93" s="65">
        <f>P93-O93</f>
        <v/>
      </c>
      <c r="R93" s="66" t="n">
        <v>8</v>
      </c>
      <c r="S93" s="66" t="n">
        <v>17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257</v>
      </c>
      <c r="Y93" s="69" t="n">
        <v>26</v>
      </c>
      <c r="Z93" s="70">
        <f>X93+Y93</f>
        <v/>
      </c>
      <c r="AA93" s="71" t="n">
        <v>210</v>
      </c>
      <c r="AB93" s="71" t="n">
        <v>18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>
        <is>
          <t>Muhamad Fadly Djafar</t>
        </is>
      </c>
      <c r="C94" s="57" t="inlineStr">
        <is>
          <t>tentangsangihe@gmail.com</t>
        </is>
      </c>
      <c r="D94" s="57" t="inlineStr">
        <is>
          <t>PCL</t>
        </is>
      </c>
      <c r="E94" s="57" t="inlineStr">
        <is>
          <t>(110) KENDAHE</t>
        </is>
      </c>
      <c r="F94" s="58" t="n">
        <v>344</v>
      </c>
      <c r="G94" s="58" t="n">
        <v>64</v>
      </c>
      <c r="H94" s="59">
        <f>F94+G94</f>
        <v/>
      </c>
      <c r="I94" s="60" t="n">
        <v>26</v>
      </c>
      <c r="J94" s="60" t="n">
        <v>14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26</v>
      </c>
      <c r="P94" s="64" t="n">
        <v>26</v>
      </c>
      <c r="Q94" s="65">
        <f>P94-O94</f>
        <v/>
      </c>
      <c r="R94" s="66" t="n">
        <v>14</v>
      </c>
      <c r="S94" s="66" t="n">
        <v>2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259</v>
      </c>
      <c r="Y94" s="69" t="n">
        <v>32</v>
      </c>
      <c r="Z94" s="70">
        <f>X94+Y94</f>
        <v/>
      </c>
      <c r="AA94" s="71" t="n">
        <v>233</v>
      </c>
      <c r="AB94" s="71" t="n">
        <v>18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Muvidah Kaehe</t>
        </is>
      </c>
      <c r="C95" s="57" t="inlineStr">
        <is>
          <t>kaehemuvidah@gmail.com</t>
        </is>
      </c>
      <c r="D95" s="57" t="inlineStr">
        <is>
          <t>PCL</t>
        </is>
      </c>
      <c r="E95" s="57" t="inlineStr">
        <is>
          <t>(100) TABUKAN UTARA</t>
        </is>
      </c>
      <c r="F95" s="58" t="n">
        <v>266</v>
      </c>
      <c r="G95" s="58" t="n">
        <v>31</v>
      </c>
      <c r="H95" s="59">
        <f>F95+G95</f>
        <v/>
      </c>
      <c r="I95" s="60" t="n">
        <v>19</v>
      </c>
      <c r="J95" s="60" t="n">
        <v>16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19</v>
      </c>
      <c r="P95" s="64" t="n">
        <v>95</v>
      </c>
      <c r="Q95" s="65">
        <f>P95-O95</f>
        <v/>
      </c>
      <c r="R95" s="66" t="n">
        <v>16</v>
      </c>
      <c r="S95" s="66" t="n">
        <v>15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191</v>
      </c>
      <c r="Y95" s="69" t="n">
        <v>40</v>
      </c>
      <c r="Z95" s="70">
        <f>X95+Y95</f>
        <v/>
      </c>
      <c r="AA95" s="71" t="n">
        <v>172</v>
      </c>
      <c r="AB95" s="71" t="n">
        <v>24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Nalla Aulya Ponto</t>
        </is>
      </c>
      <c r="C96" s="57" t="inlineStr">
        <is>
          <t>nallaaulya27@gmail.com</t>
        </is>
      </c>
      <c r="D96" s="57" t="inlineStr">
        <is>
          <t>PCL</t>
        </is>
      </c>
      <c r="E96" s="57" t="inlineStr">
        <is>
          <t>(090) TAHUNA</t>
        </is>
      </c>
      <c r="F96" s="58" t="n">
        <v>327</v>
      </c>
      <c r="G96" s="58" t="n">
        <v>57</v>
      </c>
      <c r="H96" s="59">
        <f>F96+G96</f>
        <v/>
      </c>
      <c r="I96" s="60" t="n">
        <v>103</v>
      </c>
      <c r="J96" s="60" t="n">
        <v>27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103</v>
      </c>
      <c r="P96" s="64" t="n">
        <v>40</v>
      </c>
      <c r="Q96" s="65">
        <f>P96-O96</f>
        <v/>
      </c>
      <c r="R96" s="66" t="n">
        <v>27</v>
      </c>
      <c r="S96" s="66" t="n">
        <v>8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229</v>
      </c>
      <c r="Y96" s="69" t="n">
        <v>41</v>
      </c>
      <c r="Z96" s="70">
        <f>X96+Y96</f>
        <v/>
      </c>
      <c r="AA96" s="71" t="n">
        <v>126</v>
      </c>
      <c r="AB96" s="71" t="n">
        <v>14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Nefi Anet Wawanda</t>
        </is>
      </c>
      <c r="C97" s="57" t="inlineStr">
        <is>
          <t>nefiwawanda11@gmail.com</t>
        </is>
      </c>
      <c r="D97" s="57" t="inlineStr">
        <is>
          <t>PCL</t>
        </is>
      </c>
      <c r="E97" s="57" t="inlineStr">
        <is>
          <t>(080) MANGANITU</t>
        </is>
      </c>
      <c r="F97" s="58" t="n">
        <v>330</v>
      </c>
      <c r="G97" s="58" t="n">
        <v>31</v>
      </c>
      <c r="H97" s="59">
        <f>F97+G97</f>
        <v/>
      </c>
      <c r="I97" s="60" t="n">
        <v>15</v>
      </c>
      <c r="J97" s="60" t="n">
        <v>5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15</v>
      </c>
      <c r="P97" s="64" t="n">
        <v>41</v>
      </c>
      <c r="Q97" s="65">
        <f>P97-O97</f>
        <v/>
      </c>
      <c r="R97" s="66" t="n">
        <v>5</v>
      </c>
      <c r="S97" s="66" t="n">
        <v>6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228</v>
      </c>
      <c r="Y97" s="69" t="n">
        <v>15</v>
      </c>
      <c r="Z97" s="70">
        <f>X97+Y97</f>
        <v/>
      </c>
      <c r="AA97" s="71" t="n">
        <v>213</v>
      </c>
      <c r="AB97" s="71" t="n">
        <v>10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Nevivania Liopenne Kakauhe</t>
        </is>
      </c>
      <c r="C98" s="57" t="inlineStr">
        <is>
          <t>nialiokakauhe16@gmail.com</t>
        </is>
      </c>
      <c r="D98" s="57" t="inlineStr">
        <is>
          <t>PCL</t>
        </is>
      </c>
      <c r="E98" s="57" t="inlineStr">
        <is>
          <t>(080) MANGANITU</t>
        </is>
      </c>
      <c r="F98" s="58" t="n">
        <v>330</v>
      </c>
      <c r="G98" s="58" t="n">
        <v>22</v>
      </c>
      <c r="H98" s="59">
        <f>F98+G98</f>
        <v/>
      </c>
      <c r="I98" s="60" t="n">
        <v>21</v>
      </c>
      <c r="J98" s="60" t="n">
        <v>4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21</v>
      </c>
      <c r="P98" s="64" t="n">
        <v>41</v>
      </c>
      <c r="Q98" s="65">
        <f>P98-O98</f>
        <v/>
      </c>
      <c r="R98" s="66" t="n">
        <v>4</v>
      </c>
      <c r="S98" s="66" t="n">
        <v>3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194</v>
      </c>
      <c r="Y98" s="69" t="n">
        <v>14</v>
      </c>
      <c r="Z98" s="70">
        <f>X98+Y98</f>
        <v/>
      </c>
      <c r="AA98" s="71" t="n">
        <v>173</v>
      </c>
      <c r="AB98" s="71" t="n">
        <v>10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Nicky Jacson Taidi</t>
        </is>
      </c>
      <c r="C99" s="57" t="inlineStr">
        <is>
          <t>nickytaidi1986@gmail.com</t>
        </is>
      </c>
      <c r="D99" s="57" t="inlineStr">
        <is>
          <t>PCL</t>
        </is>
      </c>
      <c r="E99" s="57" t="inlineStr">
        <is>
          <t>(050) TAMAKO</t>
        </is>
      </c>
      <c r="F99" s="58" t="n">
        <v>334</v>
      </c>
      <c r="G99" s="58" t="n">
        <v>18</v>
      </c>
      <c r="H99" s="59">
        <f>F99+G99</f>
        <v/>
      </c>
      <c r="I99" s="60" t="n">
        <v>44</v>
      </c>
      <c r="J99" s="60" t="n">
        <v>7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44</v>
      </c>
      <c r="P99" s="64" t="n">
        <v>33</v>
      </c>
      <c r="Q99" s="65">
        <f>P99-O99</f>
        <v/>
      </c>
      <c r="R99" s="66" t="n">
        <v>7</v>
      </c>
      <c r="S99" s="66" t="n">
        <v>3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248</v>
      </c>
      <c r="Y99" s="69" t="n">
        <v>14</v>
      </c>
      <c r="Z99" s="70">
        <f>X99+Y99</f>
        <v/>
      </c>
      <c r="AA99" s="71" t="n">
        <v>204</v>
      </c>
      <c r="AB99" s="71" t="n">
        <v>7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Ningsi Karendehi</t>
        </is>
      </c>
      <c r="C100" s="57" t="inlineStr">
        <is>
          <t>ningsikarendehi968@gmail.com</t>
        </is>
      </c>
      <c r="D100" s="57" t="inlineStr">
        <is>
          <t>PML</t>
        </is>
      </c>
      <c r="E100" s="57" t="inlineStr">
        <is>
          <t>(061) TABUKAN SELATAN TENGAH &amp; (062) TABUKAN SELATAN TENGGARA</t>
        </is>
      </c>
      <c r="F100" s="58" t="n">
        <v>1577</v>
      </c>
      <c r="G100" s="58" t="n">
        <v>169</v>
      </c>
      <c r="H100" s="59">
        <f>F100+G100</f>
        <v/>
      </c>
      <c r="I100" s="60" t="n">
        <v>169</v>
      </c>
      <c r="J100" s="60" t="n">
        <v>48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169</v>
      </c>
      <c r="P100" s="64" t="n">
        <v>190</v>
      </c>
      <c r="Q100" s="65">
        <f>P100-O100</f>
        <v/>
      </c>
      <c r="R100" s="66" t="n">
        <v>48</v>
      </c>
      <c r="S100" s="66" t="n">
        <v>28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1102</v>
      </c>
      <c r="Y100" s="69" t="n">
        <v>111</v>
      </c>
      <c r="Z100" s="70">
        <f>X100+Y100</f>
        <v/>
      </c>
      <c r="AA100" s="71" t="n">
        <v>933</v>
      </c>
      <c r="AB100" s="71" t="n">
        <v>63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Nofri Markus Taidi</t>
        </is>
      </c>
      <c r="C101" s="57" t="inlineStr">
        <is>
          <t>nofritaidi@gmail.com</t>
        </is>
      </c>
      <c r="D101" s="57" t="inlineStr">
        <is>
          <t>PCL</t>
        </is>
      </c>
      <c r="E101" s="57" t="inlineStr">
        <is>
          <t>(041) TATOARENG</t>
        </is>
      </c>
      <c r="F101" s="58" t="n">
        <v>240</v>
      </c>
      <c r="G101" s="58" t="n">
        <v>65</v>
      </c>
      <c r="H101" s="59">
        <f>F101+G101</f>
        <v/>
      </c>
      <c r="I101" s="60" t="n">
        <v>43</v>
      </c>
      <c r="J101" s="60" t="n">
        <v>19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43</v>
      </c>
      <c r="P101" s="64" t="n">
        <v>2</v>
      </c>
      <c r="Q101" s="65">
        <f>P101-O101</f>
        <v/>
      </c>
      <c r="R101" s="66" t="n">
        <v>19</v>
      </c>
      <c r="S101" s="66" t="n">
        <v>0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185</v>
      </c>
      <c r="Y101" s="69" t="n">
        <v>30</v>
      </c>
      <c r="Z101" s="70">
        <f>X101+Y101</f>
        <v/>
      </c>
      <c r="AA101" s="71" t="n">
        <v>142</v>
      </c>
      <c r="AB101" s="71" t="n">
        <v>11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>
        <is>
          <t>Nolvi Sanggel</t>
        </is>
      </c>
      <c r="C102" s="57" t="inlineStr">
        <is>
          <t>nolvisanggel76@gmail.com</t>
        </is>
      </c>
      <c r="D102" s="57" t="inlineStr">
        <is>
          <t>PCL</t>
        </is>
      </c>
      <c r="E102" s="57" t="inlineStr">
        <is>
          <t>(091) TAHUNA TIMUR</t>
        </is>
      </c>
      <c r="F102" s="58" t="n">
        <v>312</v>
      </c>
      <c r="G102" s="58" t="n">
        <v>75</v>
      </c>
      <c r="H102" s="59">
        <f>F102+G102</f>
        <v/>
      </c>
      <c r="I102" s="60" t="n">
        <v>50</v>
      </c>
      <c r="J102" s="60" t="n">
        <v>20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50</v>
      </c>
      <c r="P102" s="64" t="n">
        <v>25</v>
      </c>
      <c r="Q102" s="65">
        <f>P102-O102</f>
        <v/>
      </c>
      <c r="R102" s="66" t="n">
        <v>20</v>
      </c>
      <c r="S102" s="66" t="n">
        <v>3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240</v>
      </c>
      <c r="Y102" s="69" t="n">
        <v>30</v>
      </c>
      <c r="Z102" s="70">
        <f>X102+Y102</f>
        <v/>
      </c>
      <c r="AA102" s="71" t="n">
        <v>190</v>
      </c>
      <c r="AB102" s="71" t="n">
        <v>10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Novatania Makagansa</t>
        </is>
      </c>
      <c r="C103" s="57" t="inlineStr">
        <is>
          <t>makagansanova@gmail.com</t>
        </is>
      </c>
      <c r="D103" s="57" t="inlineStr">
        <is>
          <t>PCL</t>
        </is>
      </c>
      <c r="E103" s="57" t="inlineStr">
        <is>
          <t>(100) TABUKAN UTARA</t>
        </is>
      </c>
      <c r="F103" s="58" t="n">
        <v>327</v>
      </c>
      <c r="G103" s="58" t="n">
        <v>39</v>
      </c>
      <c r="H103" s="59">
        <f>F103+G103</f>
        <v/>
      </c>
      <c r="I103" s="60" t="n">
        <v>45</v>
      </c>
      <c r="J103" s="60" t="n">
        <v>17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45</v>
      </c>
      <c r="P103" s="64" t="n">
        <v>73</v>
      </c>
      <c r="Q103" s="65">
        <f>P103-O103</f>
        <v/>
      </c>
      <c r="R103" s="66" t="n">
        <v>17</v>
      </c>
      <c r="S103" s="66" t="n">
        <v>17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252</v>
      </c>
      <c r="Y103" s="69" t="n">
        <v>44</v>
      </c>
      <c r="Z103" s="70">
        <f>X103+Y103</f>
        <v/>
      </c>
      <c r="AA103" s="71" t="n">
        <v>207</v>
      </c>
      <c r="AB103" s="71" t="n">
        <v>27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Novdein Arif Bongkitang</t>
        </is>
      </c>
      <c r="C104" s="57" t="inlineStr">
        <is>
          <t>novdeinarifbongkitang@gmail.com</t>
        </is>
      </c>
      <c r="D104" s="57" t="inlineStr">
        <is>
          <t>PML</t>
        </is>
      </c>
      <c r="E104" s="57" t="inlineStr">
        <is>
          <t>(050) TAMAKO &amp; (080) MANGANITU</t>
        </is>
      </c>
      <c r="F104" s="58" t="n">
        <v>1658</v>
      </c>
      <c r="G104" s="58" t="n">
        <v>170</v>
      </c>
      <c r="H104" s="59">
        <f>F104+G104</f>
        <v/>
      </c>
      <c r="I104" s="60" t="n">
        <v>232</v>
      </c>
      <c r="J104" s="60" t="n">
        <v>43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232</v>
      </c>
      <c r="P104" s="64" t="n">
        <v>301</v>
      </c>
      <c r="Q104" s="65">
        <f>P104-O104</f>
        <v/>
      </c>
      <c r="R104" s="66" t="n">
        <v>43</v>
      </c>
      <c r="S104" s="66" t="n">
        <v>52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1192</v>
      </c>
      <c r="Y104" s="69" t="n">
        <v>134</v>
      </c>
      <c r="Z104" s="70">
        <f>X104+Y104</f>
        <v/>
      </c>
      <c r="AA104" s="71" t="n">
        <v>960</v>
      </c>
      <c r="AB104" s="71" t="n">
        <v>91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Novianty Key</t>
        </is>
      </c>
      <c r="C105" s="57" t="inlineStr">
        <is>
          <t>noviantykey5@gmail.com</t>
        </is>
      </c>
      <c r="D105" s="57" t="inlineStr">
        <is>
          <t>PCL</t>
        </is>
      </c>
      <c r="E105" s="57" t="inlineStr">
        <is>
          <t>(100) TABUKAN UTARA</t>
        </is>
      </c>
      <c r="F105" s="58" t="n">
        <v>321</v>
      </c>
      <c r="G105" s="58" t="n">
        <v>33</v>
      </c>
      <c r="H105" s="59">
        <f>F105+G105</f>
        <v/>
      </c>
      <c r="I105" s="60" t="n">
        <v>29</v>
      </c>
      <c r="J105" s="60" t="n">
        <v>17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29</v>
      </c>
      <c r="P105" s="64" t="n">
        <v>52</v>
      </c>
      <c r="Q105" s="65">
        <f>P105-O105</f>
        <v/>
      </c>
      <c r="R105" s="66" t="n">
        <v>17</v>
      </c>
      <c r="S105" s="66" t="n">
        <v>10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218</v>
      </c>
      <c r="Y105" s="69" t="n">
        <v>34</v>
      </c>
      <c r="Z105" s="70">
        <f>X105+Y105</f>
        <v/>
      </c>
      <c r="AA105" s="71" t="n">
        <v>189</v>
      </c>
      <c r="AB105" s="71" t="n">
        <v>17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Novrilley Richard Mumu</t>
        </is>
      </c>
      <c r="C106" s="57" t="inlineStr">
        <is>
          <t>novrilleymumu11@gmail.com</t>
        </is>
      </c>
      <c r="D106" s="57" t="inlineStr">
        <is>
          <t>PML</t>
        </is>
      </c>
      <c r="E106" s="57" t="inlineStr">
        <is>
          <t>(100) TABUKAN UTARA</t>
        </is>
      </c>
      <c r="F106" s="58" t="n">
        <v>1910</v>
      </c>
      <c r="G106" s="58" t="n">
        <v>220</v>
      </c>
      <c r="H106" s="59">
        <f>F106+G106</f>
        <v/>
      </c>
      <c r="I106" s="60" t="n">
        <v>238</v>
      </c>
      <c r="J106" s="60" t="n">
        <v>83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238</v>
      </c>
      <c r="P106" s="64" t="n">
        <v>356</v>
      </c>
      <c r="Q106" s="65">
        <f>P106-O106</f>
        <v/>
      </c>
      <c r="R106" s="66" t="n">
        <v>83</v>
      </c>
      <c r="S106" s="66" t="n">
        <v>65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1431</v>
      </c>
      <c r="Y106" s="69" t="n">
        <v>185</v>
      </c>
      <c r="Z106" s="70">
        <f>X106+Y106</f>
        <v/>
      </c>
      <c r="AA106" s="71" t="n">
        <v>1193</v>
      </c>
      <c r="AB106" s="71" t="n">
        <v>102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Nur Alifah Kasilialang</t>
        </is>
      </c>
      <c r="C107" s="57" t="inlineStr">
        <is>
          <t>kasilialangnuralifah@gmail.com</t>
        </is>
      </c>
      <c r="D107" s="57" t="inlineStr">
        <is>
          <t>PCL</t>
        </is>
      </c>
      <c r="E107" s="57" t="inlineStr">
        <is>
          <t>(110) KENDAHE</t>
        </is>
      </c>
      <c r="F107" s="58" t="n">
        <v>402</v>
      </c>
      <c r="G107" s="58" t="n">
        <v>34</v>
      </c>
      <c r="H107" s="59">
        <f>F107+G107</f>
        <v/>
      </c>
      <c r="I107" s="60" t="n">
        <v>51</v>
      </c>
      <c r="J107" s="60" t="n">
        <v>12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51</v>
      </c>
      <c r="P107" s="64" t="n">
        <v>54</v>
      </c>
      <c r="Q107" s="65">
        <f>P107-O107</f>
        <v/>
      </c>
      <c r="R107" s="66" t="n">
        <v>12</v>
      </c>
      <c r="S107" s="66" t="n">
        <v>8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284</v>
      </c>
      <c r="Y107" s="69" t="n">
        <v>24</v>
      </c>
      <c r="Z107" s="70">
        <f>X107+Y107</f>
        <v/>
      </c>
      <c r="AA107" s="71" t="n">
        <v>233</v>
      </c>
      <c r="AB107" s="71" t="n">
        <v>12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Nurhayati Mangentiku</t>
        </is>
      </c>
      <c r="C108" s="57" t="inlineStr">
        <is>
          <t>nurhayatimangentiku1992@gmail.com</t>
        </is>
      </c>
      <c r="D108" s="57" t="inlineStr">
        <is>
          <t>PCL</t>
        </is>
      </c>
      <c r="E108" s="57" t="inlineStr">
        <is>
          <t>(100) TABUKAN UTARA</t>
        </is>
      </c>
      <c r="F108" s="58" t="n">
        <v>299</v>
      </c>
      <c r="G108" s="58" t="n">
        <v>26</v>
      </c>
      <c r="H108" s="59">
        <f>F108+G108</f>
        <v/>
      </c>
      <c r="I108" s="60" t="n">
        <v>57</v>
      </c>
      <c r="J108" s="60" t="n">
        <v>17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57</v>
      </c>
      <c r="P108" s="64" t="n">
        <v>38</v>
      </c>
      <c r="Q108" s="65">
        <f>P108-O108</f>
        <v/>
      </c>
      <c r="R108" s="66" t="n">
        <v>17</v>
      </c>
      <c r="S108" s="66" t="n">
        <v>9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281</v>
      </c>
      <c r="Y108" s="69" t="n">
        <v>28</v>
      </c>
      <c r="Z108" s="70">
        <f>X108+Y108</f>
        <v/>
      </c>
      <c r="AA108" s="71" t="n">
        <v>224</v>
      </c>
      <c r="AB108" s="71" t="n">
        <v>11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Oktavianti Tangkabiringan</t>
        </is>
      </c>
      <c r="C109" s="57" t="inlineStr">
        <is>
          <t>tangkabiringananti@gmail.com</t>
        </is>
      </c>
      <c r="D109" s="57" t="inlineStr">
        <is>
          <t>PCL</t>
        </is>
      </c>
      <c r="E109" s="57" t="inlineStr">
        <is>
          <t>(110) KENDAHE</t>
        </is>
      </c>
      <c r="F109" s="58" t="n">
        <v>399</v>
      </c>
      <c r="G109" s="58" t="n">
        <v>23</v>
      </c>
      <c r="H109" s="59">
        <f>F109+G109</f>
        <v/>
      </c>
      <c r="I109" s="60" t="n">
        <v>36</v>
      </c>
      <c r="J109" s="60" t="n">
        <v>7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36</v>
      </c>
      <c r="P109" s="64" t="n">
        <v>56</v>
      </c>
      <c r="Q109" s="65">
        <f>P109-O109</f>
        <v/>
      </c>
      <c r="R109" s="66" t="n">
        <v>7</v>
      </c>
      <c r="S109" s="66" t="n">
        <v>12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248</v>
      </c>
      <c r="Y109" s="69" t="n">
        <v>24</v>
      </c>
      <c r="Z109" s="70">
        <f>X109+Y109</f>
        <v/>
      </c>
      <c r="AA109" s="71" t="n">
        <v>212</v>
      </c>
      <c r="AB109" s="71" t="n">
        <v>17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Olfira Sicilia Budiman</t>
        </is>
      </c>
      <c r="C110" s="57" t="inlineStr">
        <is>
          <t>olfirabudiman@gmail.com</t>
        </is>
      </c>
      <c r="D110" s="57" t="inlineStr">
        <is>
          <t>PML</t>
        </is>
      </c>
      <c r="E110" s="57" t="inlineStr">
        <is>
          <t>(080) MANGANITU</t>
        </is>
      </c>
      <c r="F110" s="58" t="n">
        <v>1489</v>
      </c>
      <c r="G110" s="58" t="n">
        <v>278</v>
      </c>
      <c r="H110" s="59">
        <f>F110+G110</f>
        <v/>
      </c>
      <c r="I110" s="60" t="n">
        <v>173</v>
      </c>
      <c r="J110" s="60" t="n">
        <v>38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173</v>
      </c>
      <c r="P110" s="64" t="n">
        <v>214</v>
      </c>
      <c r="Q110" s="65">
        <f>P110-O110</f>
        <v/>
      </c>
      <c r="R110" s="66" t="n">
        <v>38</v>
      </c>
      <c r="S110" s="66" t="n">
        <v>31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953</v>
      </c>
      <c r="Y110" s="69" t="n">
        <v>106</v>
      </c>
      <c r="Z110" s="70">
        <f>X110+Y110</f>
        <v/>
      </c>
      <c r="AA110" s="71" t="n">
        <v>780</v>
      </c>
      <c r="AB110" s="71" t="n">
        <v>68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Priskila Bawotong</t>
        </is>
      </c>
      <c r="C111" s="57" t="inlineStr">
        <is>
          <t>priskilabawotong@gmail.com</t>
        </is>
      </c>
      <c r="D111" s="57" t="inlineStr">
        <is>
          <t>PCL</t>
        </is>
      </c>
      <c r="E111" s="57" t="inlineStr">
        <is>
          <t>(080) MANGANITU</t>
        </is>
      </c>
      <c r="F111" s="58" t="n">
        <v>312</v>
      </c>
      <c r="G111" s="58" t="n">
        <v>32</v>
      </c>
      <c r="H111" s="59">
        <f>F111+G111</f>
        <v/>
      </c>
      <c r="I111" s="60" t="n">
        <v>8</v>
      </c>
      <c r="J111" s="60" t="n">
        <v>12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8</v>
      </c>
      <c r="P111" s="64" t="n">
        <v>45</v>
      </c>
      <c r="Q111" s="65">
        <f>P111-O111</f>
        <v/>
      </c>
      <c r="R111" s="66" t="n">
        <v>12</v>
      </c>
      <c r="S111" s="66" t="n">
        <v>4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171</v>
      </c>
      <c r="Y111" s="69" t="n">
        <v>24</v>
      </c>
      <c r="Z111" s="70">
        <f>X111+Y111</f>
        <v/>
      </c>
      <c r="AA111" s="71" t="n">
        <v>163</v>
      </c>
      <c r="AB111" s="71" t="n">
        <v>12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Puteri Teratai Timuhingide</t>
        </is>
      </c>
      <c r="C112" s="57" t="inlineStr">
        <is>
          <t>07pupit@gmail.com</t>
        </is>
      </c>
      <c r="D112" s="57" t="inlineStr">
        <is>
          <t>PCL</t>
        </is>
      </c>
      <c r="E112" s="57" t="inlineStr">
        <is>
          <t>(050) TAMAKO</t>
        </is>
      </c>
      <c r="F112" s="58" t="n">
        <v>310</v>
      </c>
      <c r="G112" s="58" t="n">
        <v>52</v>
      </c>
      <c r="H112" s="59">
        <f>F112+G112</f>
        <v/>
      </c>
      <c r="I112" s="60" t="n">
        <v>48</v>
      </c>
      <c r="J112" s="60" t="n">
        <v>30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48</v>
      </c>
      <c r="P112" s="64" t="n">
        <v>47</v>
      </c>
      <c r="Q112" s="65">
        <f>P112-O112</f>
        <v/>
      </c>
      <c r="R112" s="66" t="n">
        <v>30</v>
      </c>
      <c r="S112" s="66" t="n">
        <v>36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248</v>
      </c>
      <c r="Y112" s="69" t="n">
        <v>86</v>
      </c>
      <c r="Z112" s="70">
        <f>X112+Y112</f>
        <v/>
      </c>
      <c r="AA112" s="71" t="n">
        <v>200</v>
      </c>
      <c r="AB112" s="71" t="n">
        <v>56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Rachmawati Kampi</t>
        </is>
      </c>
      <c r="C113" s="57" t="inlineStr">
        <is>
          <t>tikamustika1704@gmail.com</t>
        </is>
      </c>
      <c r="D113" s="57" t="inlineStr">
        <is>
          <t>PCL</t>
        </is>
      </c>
      <c r="E113" s="57" t="inlineStr">
        <is>
          <t>(091) TAHUNA TIMUR</t>
        </is>
      </c>
      <c r="F113" s="58" t="n">
        <v>395</v>
      </c>
      <c r="G113" s="58" t="n">
        <v>47</v>
      </c>
      <c r="H113" s="59">
        <f>F113+G113</f>
        <v/>
      </c>
      <c r="I113" s="60" t="n">
        <v>81</v>
      </c>
      <c r="J113" s="60" t="n">
        <v>21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81</v>
      </c>
      <c r="P113" s="64" t="n">
        <v>31</v>
      </c>
      <c r="Q113" s="65">
        <f>P113-O113</f>
        <v/>
      </c>
      <c r="R113" s="66" t="n">
        <v>21</v>
      </c>
      <c r="S113" s="66" t="n">
        <v>18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278</v>
      </c>
      <c r="Y113" s="69" t="n">
        <v>46</v>
      </c>
      <c r="Z113" s="70">
        <f>X113+Y113</f>
        <v/>
      </c>
      <c r="AA113" s="71" t="n">
        <v>197</v>
      </c>
      <c r="AB113" s="71" t="n">
        <v>25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Ratna Sari Tumuwe</t>
        </is>
      </c>
      <c r="C114" s="57" t="inlineStr">
        <is>
          <t>ratnatumuwe41@gmail.com</t>
        </is>
      </c>
      <c r="D114" s="57" t="inlineStr">
        <is>
          <t>PCL</t>
        </is>
      </c>
      <c r="E114" s="57" t="inlineStr">
        <is>
          <t>(092) TAHUNA BARAT</t>
        </is>
      </c>
      <c r="F114" s="58" t="n">
        <v>431</v>
      </c>
      <c r="G114" s="58" t="n">
        <v>28</v>
      </c>
      <c r="H114" s="59">
        <f>F114+G114</f>
        <v/>
      </c>
      <c r="I114" s="60" t="n">
        <v>50</v>
      </c>
      <c r="J114" s="60" t="n">
        <v>8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50</v>
      </c>
      <c r="P114" s="64" t="n">
        <v>33</v>
      </c>
      <c r="Q114" s="65">
        <f>P114-O114</f>
        <v/>
      </c>
      <c r="R114" s="66" t="n">
        <v>8</v>
      </c>
      <c r="S114" s="66" t="n">
        <v>2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258</v>
      </c>
      <c r="Y114" s="69" t="n">
        <v>18</v>
      </c>
      <c r="Z114" s="70">
        <f>X114+Y114</f>
        <v/>
      </c>
      <c r="AA114" s="71" t="n">
        <v>208</v>
      </c>
      <c r="AB114" s="71" t="n">
        <v>10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Regina Kesya Dumumpe</t>
        </is>
      </c>
      <c r="C115" s="57" t="inlineStr">
        <is>
          <t>moginsya32@gmail.com</t>
        </is>
      </c>
      <c r="D115" s="57" t="inlineStr">
        <is>
          <t>PCL</t>
        </is>
      </c>
      <c r="E115" s="57" t="inlineStr">
        <is>
          <t>(080) MANGANITU</t>
        </is>
      </c>
      <c r="F115" s="58" t="n">
        <v>194</v>
      </c>
      <c r="G115" s="58" t="n">
        <v>151</v>
      </c>
      <c r="H115" s="59">
        <f>F115+G115</f>
        <v/>
      </c>
      <c r="I115" s="60" t="n">
        <v>13</v>
      </c>
      <c r="J115" s="60" t="n">
        <v>12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13</v>
      </c>
      <c r="P115" s="64" t="n">
        <v>52</v>
      </c>
      <c r="Q115" s="65">
        <f>P115-O115</f>
        <v/>
      </c>
      <c r="R115" s="66" t="n">
        <v>12</v>
      </c>
      <c r="S115" s="66" t="n">
        <v>15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168</v>
      </c>
      <c r="Y115" s="69" t="n">
        <v>40</v>
      </c>
      <c r="Z115" s="70">
        <f>X115+Y115</f>
        <v/>
      </c>
      <c r="AA115" s="71" t="n">
        <v>155</v>
      </c>
      <c r="AB115" s="71" t="n">
        <v>28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Regina Mahoro</t>
        </is>
      </c>
      <c r="C116" s="57" t="inlineStr">
        <is>
          <t>reginamahoro0@gmail.com</t>
        </is>
      </c>
      <c r="D116" s="57" t="inlineStr">
        <is>
          <t>PCL</t>
        </is>
      </c>
      <c r="E116" s="57" t="inlineStr">
        <is>
          <t>(100) TABUKAN UTARA</t>
        </is>
      </c>
      <c r="F116" s="58" t="n">
        <v>256</v>
      </c>
      <c r="G116" s="58" t="n">
        <v>44</v>
      </c>
      <c r="H116" s="59">
        <f>F116+G116</f>
        <v/>
      </c>
      <c r="I116" s="60" t="n">
        <v>87</v>
      </c>
      <c r="J116" s="60" t="n">
        <v>36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87</v>
      </c>
      <c r="P116" s="64" t="n">
        <v>44</v>
      </c>
      <c r="Q116" s="65">
        <f>P116-O116</f>
        <v/>
      </c>
      <c r="R116" s="66" t="n">
        <v>36</v>
      </c>
      <c r="S116" s="66" t="n">
        <v>6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256</v>
      </c>
      <c r="Y116" s="69" t="n">
        <v>46</v>
      </c>
      <c r="Z116" s="70">
        <f>X116+Y116</f>
        <v/>
      </c>
      <c r="AA116" s="71" t="n">
        <v>169</v>
      </c>
      <c r="AB116" s="71" t="n">
        <v>10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Rendy Julio Bangonang</t>
        </is>
      </c>
      <c r="C117" s="57" t="inlineStr">
        <is>
          <t>rendybangonang@gmail.com</t>
        </is>
      </c>
      <c r="D117" s="57" t="inlineStr">
        <is>
          <t>PCL</t>
        </is>
      </c>
      <c r="E117" s="57" t="inlineStr">
        <is>
          <t>(092) TAHUNA BARAT</t>
        </is>
      </c>
      <c r="F117" s="58" t="n">
        <v>396</v>
      </c>
      <c r="G117" s="58" t="n">
        <v>22</v>
      </c>
      <c r="H117" s="59">
        <f>F117+G117</f>
        <v/>
      </c>
      <c r="I117" s="60" t="n">
        <v>28</v>
      </c>
      <c r="J117" s="60" t="n">
        <v>5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28</v>
      </c>
      <c r="P117" s="64" t="n">
        <v>18</v>
      </c>
      <c r="Q117" s="65">
        <f>P117-O117</f>
        <v/>
      </c>
      <c r="R117" s="66" t="n">
        <v>5</v>
      </c>
      <c r="S117" s="66" t="n">
        <v>1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264</v>
      </c>
      <c r="Y117" s="69" t="n">
        <v>8</v>
      </c>
      <c r="Z117" s="70">
        <f>X117+Y117</f>
        <v/>
      </c>
      <c r="AA117" s="71" t="n">
        <v>236</v>
      </c>
      <c r="AB117" s="71" t="n">
        <v>3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Ritmawati Siliwire</t>
        </is>
      </c>
      <c r="C118" s="57" t="inlineStr">
        <is>
          <t>ritmawatisiliwire03@gmail.com</t>
        </is>
      </c>
      <c r="D118" s="57" t="inlineStr">
        <is>
          <t>PCL</t>
        </is>
      </c>
      <c r="E118" s="57" t="inlineStr">
        <is>
          <t>(091) TAHUNA TIMUR</t>
        </is>
      </c>
      <c r="F118" s="58" t="n">
        <v>367</v>
      </c>
      <c r="G118" s="58" t="n">
        <v>46</v>
      </c>
      <c r="H118" s="59">
        <f>F118+G118</f>
        <v/>
      </c>
      <c r="I118" s="60" t="n">
        <v>74</v>
      </c>
      <c r="J118" s="60" t="n">
        <v>20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74</v>
      </c>
      <c r="P118" s="64" t="n">
        <v>90</v>
      </c>
      <c r="Q118" s="65">
        <f>P118-O118</f>
        <v/>
      </c>
      <c r="R118" s="66" t="n">
        <v>20</v>
      </c>
      <c r="S118" s="66" t="n">
        <v>11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296</v>
      </c>
      <c r="Y118" s="69" t="n">
        <v>39</v>
      </c>
      <c r="Z118" s="70">
        <f>X118+Y118</f>
        <v/>
      </c>
      <c r="AA118" s="71" t="n">
        <v>222</v>
      </c>
      <c r="AB118" s="71" t="n">
        <v>19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Roberto Lahapo</t>
        </is>
      </c>
      <c r="C119" s="57" t="inlineStr">
        <is>
          <t>robertolahapo@gmail.com</t>
        </is>
      </c>
      <c r="D119" s="57" t="inlineStr">
        <is>
          <t>PCL</t>
        </is>
      </c>
      <c r="E119" s="57" t="inlineStr">
        <is>
          <t>(050) TAMAKO</t>
        </is>
      </c>
      <c r="F119" s="58" t="n">
        <v>328</v>
      </c>
      <c r="G119" s="58" t="n">
        <v>34</v>
      </c>
      <c r="H119" s="59">
        <f>F119+G119</f>
        <v/>
      </c>
      <c r="I119" s="60" t="n">
        <v>53</v>
      </c>
      <c r="J119" s="60" t="n">
        <v>7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53</v>
      </c>
      <c r="P119" s="64" t="n">
        <v>56</v>
      </c>
      <c r="Q119" s="65">
        <f>P119-O119</f>
        <v/>
      </c>
      <c r="R119" s="66" t="n">
        <v>7</v>
      </c>
      <c r="S119" s="66" t="n">
        <v>8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237</v>
      </c>
      <c r="Y119" s="69" t="n">
        <v>28</v>
      </c>
      <c r="Z119" s="70">
        <f>X119+Y119</f>
        <v/>
      </c>
      <c r="AA119" s="71" t="n">
        <v>184</v>
      </c>
      <c r="AB119" s="71" t="n">
        <v>21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Rofia Pandawa</t>
        </is>
      </c>
      <c r="C120" s="57" t="inlineStr">
        <is>
          <t>fiapandawa339@gmail.com</t>
        </is>
      </c>
      <c r="D120" s="57" t="inlineStr">
        <is>
          <t>PCL</t>
        </is>
      </c>
      <c r="E120" s="57" t="inlineStr">
        <is>
          <t>(100) TABUKAN UTARA</t>
        </is>
      </c>
      <c r="F120" s="58" t="n">
        <v>317</v>
      </c>
      <c r="G120" s="58" t="n">
        <v>14</v>
      </c>
      <c r="H120" s="59">
        <f>F120+G120</f>
        <v/>
      </c>
      <c r="I120" s="60" t="n">
        <v>54</v>
      </c>
      <c r="J120" s="60" t="n">
        <v>6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54</v>
      </c>
      <c r="P120" s="64" t="n">
        <v>43</v>
      </c>
      <c r="Q120" s="65">
        <f>P120-O120</f>
        <v/>
      </c>
      <c r="R120" s="66" t="n">
        <v>6</v>
      </c>
      <c r="S120" s="66" t="n">
        <v>7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245</v>
      </c>
      <c r="Y120" s="69" t="n">
        <v>17</v>
      </c>
      <c r="Z120" s="70">
        <f>X120+Y120</f>
        <v/>
      </c>
      <c r="AA120" s="71" t="n">
        <v>191</v>
      </c>
      <c r="AB120" s="71" t="n">
        <v>11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Rubiani Mamuka</t>
        </is>
      </c>
      <c r="C121" s="57" t="inlineStr">
        <is>
          <t>mamukarubiany1990@gmail.com</t>
        </is>
      </c>
      <c r="D121" s="57" t="inlineStr">
        <is>
          <t>PCL</t>
        </is>
      </c>
      <c r="E121" s="57" t="inlineStr">
        <is>
          <t>(100) TABUKAN UTARA</t>
        </is>
      </c>
      <c r="F121" s="58" t="n">
        <v>371</v>
      </c>
      <c r="G121" s="58" t="n">
        <v>20</v>
      </c>
      <c r="H121" s="59">
        <f>F121+G121</f>
        <v/>
      </c>
      <c r="I121" s="60" t="n">
        <v>55</v>
      </c>
      <c r="J121" s="60" t="n">
        <v>12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55</v>
      </c>
      <c r="P121" s="64" t="n">
        <v>60</v>
      </c>
      <c r="Q121" s="65">
        <f>P121-O121</f>
        <v/>
      </c>
      <c r="R121" s="66" t="n">
        <v>12</v>
      </c>
      <c r="S121" s="66" t="n">
        <v>3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340</v>
      </c>
      <c r="Y121" s="69" t="n">
        <v>21</v>
      </c>
      <c r="Z121" s="70">
        <f>X121+Y121</f>
        <v/>
      </c>
      <c r="AA121" s="71" t="n">
        <v>285</v>
      </c>
      <c r="AB121" s="71" t="n">
        <v>9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Ruslan Ginoga</t>
        </is>
      </c>
      <c r="C122" s="57" t="inlineStr">
        <is>
          <t>ruslanginoga82@gmail.com</t>
        </is>
      </c>
      <c r="D122" s="57" t="inlineStr">
        <is>
          <t>PCL</t>
        </is>
      </c>
      <c r="E122" s="57" t="inlineStr">
        <is>
          <t>(101) NUSA TABUKAN</t>
        </is>
      </c>
      <c r="F122" s="58" t="n">
        <v>315</v>
      </c>
      <c r="G122" s="58" t="n">
        <v>4</v>
      </c>
      <c r="H122" s="59">
        <f>F122+G122</f>
        <v/>
      </c>
      <c r="I122" s="60" t="n">
        <v>12</v>
      </c>
      <c r="J122" s="60" t="n">
        <v>0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12</v>
      </c>
      <c r="P122" s="64" t="n">
        <v>33</v>
      </c>
      <c r="Q122" s="65">
        <f>P122-O122</f>
        <v/>
      </c>
      <c r="R122" s="66" t="n">
        <v>0</v>
      </c>
      <c r="S122" s="66" t="n">
        <v>0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251</v>
      </c>
      <c r="Y122" s="69" t="n">
        <v>1</v>
      </c>
      <c r="Z122" s="70">
        <f>X122+Y122</f>
        <v/>
      </c>
      <c r="AA122" s="71" t="n">
        <v>239</v>
      </c>
      <c r="AB122" s="71" t="n">
        <v>1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Sandy Anggriawan Makangiras</t>
        </is>
      </c>
      <c r="C123" s="57" t="inlineStr">
        <is>
          <t>anggriawanndyras@gmail.com</t>
        </is>
      </c>
      <c r="D123" s="57" t="inlineStr">
        <is>
          <t>PCL</t>
        </is>
      </c>
      <c r="E123" s="57" t="inlineStr">
        <is>
          <t>(100) TABUKAN UTARA</t>
        </is>
      </c>
      <c r="F123" s="58" t="n">
        <v>154</v>
      </c>
      <c r="G123" s="58" t="n">
        <v>136</v>
      </c>
      <c r="H123" s="59">
        <f>F123+G123</f>
        <v/>
      </c>
      <c r="I123" s="60" t="n">
        <v>19</v>
      </c>
      <c r="J123" s="60" t="n">
        <v>57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19</v>
      </c>
      <c r="P123" s="64" t="n">
        <v>20</v>
      </c>
      <c r="Q123" s="65">
        <f>P123-O123</f>
        <v/>
      </c>
      <c r="R123" s="66" t="n">
        <v>57</v>
      </c>
      <c r="S123" s="66" t="n">
        <v>92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143</v>
      </c>
      <c r="Y123" s="69" t="n">
        <v>201</v>
      </c>
      <c r="Z123" s="70">
        <f>X123+Y123</f>
        <v/>
      </c>
      <c r="AA123" s="71" t="n">
        <v>124</v>
      </c>
      <c r="AB123" s="71" t="n">
        <v>144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Satrio Prasetya Braid Dalantang</t>
        </is>
      </c>
      <c r="C124" s="57" t="inlineStr">
        <is>
          <t>satrioopbd@gmail.com</t>
        </is>
      </c>
      <c r="D124" s="57" t="inlineStr">
        <is>
          <t>PCL</t>
        </is>
      </c>
      <c r="E124" s="57" t="inlineStr">
        <is>
          <t>(041) TATOARENG</t>
        </is>
      </c>
      <c r="F124" s="58" t="n">
        <v>252</v>
      </c>
      <c r="G124" s="58" t="n">
        <v>33</v>
      </c>
      <c r="H124" s="59">
        <f>F124+G124</f>
        <v/>
      </c>
      <c r="I124" s="60" t="n">
        <v>30</v>
      </c>
      <c r="J124" s="60" t="n">
        <v>16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30</v>
      </c>
      <c r="P124" s="64" t="n">
        <v>68</v>
      </c>
      <c r="Q124" s="65">
        <f>P124-O124</f>
        <v/>
      </c>
      <c r="R124" s="66" t="n">
        <v>16</v>
      </c>
      <c r="S124" s="66" t="n">
        <v>2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167</v>
      </c>
      <c r="Y124" s="69" t="n">
        <v>19</v>
      </c>
      <c r="Z124" s="70">
        <f>X124+Y124</f>
        <v/>
      </c>
      <c r="AA124" s="71" t="n">
        <v>137</v>
      </c>
      <c r="AB124" s="71" t="n">
        <v>3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Septian Gilbert Wuisan</t>
        </is>
      </c>
      <c r="C125" s="57" t="inlineStr">
        <is>
          <t>septianglbrtw97@gmail.com</t>
        </is>
      </c>
      <c r="D125" s="57" t="inlineStr">
        <is>
          <t>PCL</t>
        </is>
      </c>
      <c r="E125" s="57" t="inlineStr">
        <is>
          <t>(090) TAHUNA</t>
        </is>
      </c>
      <c r="F125" s="58" t="n">
        <v>356</v>
      </c>
      <c r="G125" s="58" t="n">
        <v>43</v>
      </c>
      <c r="H125" s="59">
        <f>F125+G125</f>
        <v/>
      </c>
      <c r="I125" s="60" t="n">
        <v>74</v>
      </c>
      <c r="J125" s="60" t="n">
        <v>14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74</v>
      </c>
      <c r="P125" s="64" t="n">
        <v>28</v>
      </c>
      <c r="Q125" s="65">
        <f>P125-O125</f>
        <v/>
      </c>
      <c r="R125" s="66" t="n">
        <v>14</v>
      </c>
      <c r="S125" s="66" t="n">
        <v>5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206</v>
      </c>
      <c r="Y125" s="69" t="n">
        <v>20</v>
      </c>
      <c r="Z125" s="70">
        <f>X125+Y125</f>
        <v/>
      </c>
      <c r="AA125" s="71" t="n">
        <v>132</v>
      </c>
      <c r="AB125" s="71" t="n">
        <v>6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Septian Sulaiman</t>
        </is>
      </c>
      <c r="C126" s="57" t="inlineStr">
        <is>
          <t>tianfirnanda16@gmail.com</t>
        </is>
      </c>
      <c r="D126" s="57" t="inlineStr">
        <is>
          <t>PCL</t>
        </is>
      </c>
      <c r="E126" s="57" t="inlineStr">
        <is>
          <t>(091) TAHUNA TIMUR</t>
        </is>
      </c>
      <c r="F126" s="58" t="n">
        <v>391</v>
      </c>
      <c r="G126" s="58" t="n">
        <v>61</v>
      </c>
      <c r="H126" s="59">
        <f>F126+G126</f>
        <v/>
      </c>
      <c r="I126" s="60" t="n">
        <v>53</v>
      </c>
      <c r="J126" s="60" t="n">
        <v>17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53</v>
      </c>
      <c r="P126" s="64" t="n">
        <v>24</v>
      </c>
      <c r="Q126" s="65">
        <f>P126-O126</f>
        <v/>
      </c>
      <c r="R126" s="66" t="n">
        <v>17</v>
      </c>
      <c r="S126" s="66" t="n">
        <v>3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291</v>
      </c>
      <c r="Y126" s="69" t="n">
        <v>38</v>
      </c>
      <c r="Z126" s="70">
        <f>X126+Y126</f>
        <v/>
      </c>
      <c r="AA126" s="71" t="n">
        <v>238</v>
      </c>
      <c r="AB126" s="71" t="n">
        <v>21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Sheryl Jessica Tatontos</t>
        </is>
      </c>
      <c r="C127" s="57" t="inlineStr">
        <is>
          <t>sheryljessica01@gmail.com</t>
        </is>
      </c>
      <c r="D127" s="57" t="inlineStr">
        <is>
          <t>PCL</t>
        </is>
      </c>
      <c r="E127" s="57" t="inlineStr">
        <is>
          <t>(050) TAMAKO</t>
        </is>
      </c>
      <c r="F127" s="58" t="n">
        <v>206</v>
      </c>
      <c r="G127" s="58" t="n">
        <v>160</v>
      </c>
      <c r="H127" s="59">
        <f>F127+G127</f>
        <v/>
      </c>
      <c r="I127" s="60" t="n">
        <v>20</v>
      </c>
      <c r="J127" s="60" t="n">
        <v>43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20</v>
      </c>
      <c r="P127" s="64" t="n">
        <v>33</v>
      </c>
      <c r="Q127" s="65">
        <f>P127-O127</f>
        <v/>
      </c>
      <c r="R127" s="66" t="n">
        <v>43</v>
      </c>
      <c r="S127" s="66" t="n">
        <v>91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187</v>
      </c>
      <c r="Y127" s="69" t="n">
        <v>186</v>
      </c>
      <c r="Z127" s="70">
        <f>X127+Y127</f>
        <v/>
      </c>
      <c r="AA127" s="71" t="n">
        <v>167</v>
      </c>
      <c r="AB127" s="71" t="n">
        <v>143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Sigfried Erik Hontong</t>
        </is>
      </c>
      <c r="C128" s="57" t="inlineStr">
        <is>
          <t>eriksigfried@gmail.com</t>
        </is>
      </c>
      <c r="D128" s="57" t="inlineStr">
        <is>
          <t>PCL</t>
        </is>
      </c>
      <c r="E128" s="57" t="inlineStr">
        <is>
          <t>(040) MANGANITU SELATAN</t>
        </is>
      </c>
      <c r="F128" s="58" t="n">
        <v>303</v>
      </c>
      <c r="G128" s="58" t="n">
        <v>124</v>
      </c>
      <c r="H128" s="59">
        <f>F128+G128</f>
        <v/>
      </c>
      <c r="I128" s="60" t="n">
        <v>44</v>
      </c>
      <c r="J128" s="60" t="n">
        <v>24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44</v>
      </c>
      <c r="P128" s="64" t="n">
        <v>105</v>
      </c>
      <c r="Q128" s="65">
        <f>P128-O128</f>
        <v/>
      </c>
      <c r="R128" s="66" t="n">
        <v>24</v>
      </c>
      <c r="S128" s="66" t="n">
        <v>6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294</v>
      </c>
      <c r="Y128" s="69" t="n">
        <v>40</v>
      </c>
      <c r="Z128" s="70">
        <f>X128+Y128</f>
        <v/>
      </c>
      <c r="AA128" s="71" t="n">
        <v>250</v>
      </c>
      <c r="AB128" s="71" t="n">
        <v>16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Simson Petiunaung</t>
        </is>
      </c>
      <c r="C129" s="57" t="inlineStr">
        <is>
          <t>simsonpetiunaung@gmail.com</t>
        </is>
      </c>
      <c r="D129" s="57" t="inlineStr">
        <is>
          <t>PML</t>
        </is>
      </c>
      <c r="E129" s="57" t="inlineStr">
        <is>
          <t>(060) TABUKAN SELATAN</t>
        </is>
      </c>
      <c r="F129" s="58" t="n">
        <v>1837</v>
      </c>
      <c r="G129" s="58" t="n">
        <v>406</v>
      </c>
      <c r="H129" s="59">
        <f>F129+G129</f>
        <v/>
      </c>
      <c r="I129" s="60" t="n">
        <v>289</v>
      </c>
      <c r="J129" s="60" t="n">
        <v>128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289</v>
      </c>
      <c r="P129" s="64" t="n">
        <v>280</v>
      </c>
      <c r="Q129" s="65">
        <f>P129-O129</f>
        <v/>
      </c>
      <c r="R129" s="66" t="n">
        <v>128</v>
      </c>
      <c r="S129" s="66" t="n">
        <v>83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1624</v>
      </c>
      <c r="Y129" s="69" t="n">
        <v>352</v>
      </c>
      <c r="Z129" s="70">
        <f>X129+Y129</f>
        <v/>
      </c>
      <c r="AA129" s="71" t="n">
        <v>1335</v>
      </c>
      <c r="AB129" s="71" t="n">
        <v>224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Sintike Susanti Meling Horman</t>
        </is>
      </c>
      <c r="C130" s="57" t="inlineStr">
        <is>
          <t>hshyntike@gmail.com</t>
        </is>
      </c>
      <c r="D130" s="57" t="inlineStr">
        <is>
          <t>PCL</t>
        </is>
      </c>
      <c r="E130" s="57" t="inlineStr">
        <is>
          <t>(061) TABUKAN SELATAN TENGAH &amp; (062) TABUKAN SELATAN TENGGARA</t>
        </is>
      </c>
      <c r="F130" s="58" t="n">
        <v>269</v>
      </c>
      <c r="G130" s="58" t="n">
        <v>8</v>
      </c>
      <c r="H130" s="59">
        <f>F130+G130</f>
        <v/>
      </c>
      <c r="I130" s="60" t="n">
        <v>36</v>
      </c>
      <c r="J130" s="60" t="n">
        <v>3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36</v>
      </c>
      <c r="P130" s="64" t="n">
        <v>73</v>
      </c>
      <c r="Q130" s="65">
        <f>P130-O130</f>
        <v/>
      </c>
      <c r="R130" s="66" t="n">
        <v>3</v>
      </c>
      <c r="S130" s="66" t="n">
        <v>7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204</v>
      </c>
      <c r="Y130" s="69" t="n">
        <v>12</v>
      </c>
      <c r="Z130" s="70">
        <f>X130+Y130</f>
        <v/>
      </c>
      <c r="AA130" s="71" t="n">
        <v>168</v>
      </c>
      <c r="AB130" s="71" t="n">
        <v>9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Siti Maryam Madonsa</t>
        </is>
      </c>
      <c r="C131" s="57" t="inlineStr">
        <is>
          <t>sitimadonsa5@gmail.com</t>
        </is>
      </c>
      <c r="D131" s="57" t="inlineStr">
        <is>
          <t>PCL</t>
        </is>
      </c>
      <c r="E131" s="57" t="inlineStr">
        <is>
          <t>(100) TABUKAN UTARA</t>
        </is>
      </c>
      <c r="F131" s="58" t="n">
        <v>356</v>
      </c>
      <c r="G131" s="58" t="n">
        <v>29</v>
      </c>
      <c r="H131" s="59">
        <f>F131+G131</f>
        <v/>
      </c>
      <c r="I131" s="60" t="n">
        <v>56</v>
      </c>
      <c r="J131" s="60" t="n">
        <v>14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56</v>
      </c>
      <c r="P131" s="64" t="n">
        <v>66</v>
      </c>
      <c r="Q131" s="65">
        <f>P131-O131</f>
        <v/>
      </c>
      <c r="R131" s="66" t="n">
        <v>14</v>
      </c>
      <c r="S131" s="66" t="n">
        <v>9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356</v>
      </c>
      <c r="Y131" s="69" t="n">
        <v>35</v>
      </c>
      <c r="Z131" s="70">
        <f>X131+Y131</f>
        <v/>
      </c>
      <c r="AA131" s="71" t="n">
        <v>300</v>
      </c>
      <c r="AB131" s="71" t="n">
        <v>21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Siti Nurhayati Igirisa</t>
        </is>
      </c>
      <c r="C132" s="57" t="inlineStr">
        <is>
          <t>igirisatia5@gmail.com</t>
        </is>
      </c>
      <c r="D132" s="57" t="inlineStr">
        <is>
          <t>PCL</t>
        </is>
      </c>
      <c r="E132" s="57" t="inlineStr">
        <is>
          <t>(090) TAHUNA</t>
        </is>
      </c>
      <c r="F132" s="58" t="n">
        <v>262</v>
      </c>
      <c r="G132" s="58" t="n">
        <v>150</v>
      </c>
      <c r="H132" s="59">
        <f>F132+G132</f>
        <v/>
      </c>
      <c r="I132" s="60" t="n">
        <v>81</v>
      </c>
      <c r="J132" s="60" t="n">
        <v>22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81</v>
      </c>
      <c r="P132" s="64" t="n">
        <v>59</v>
      </c>
      <c r="Q132" s="65">
        <f>P132-O132</f>
        <v/>
      </c>
      <c r="R132" s="66" t="n">
        <v>22</v>
      </c>
      <c r="S132" s="66" t="n">
        <v>30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209</v>
      </c>
      <c r="Y132" s="69" t="n">
        <v>67</v>
      </c>
      <c r="Z132" s="70">
        <f>X132+Y132</f>
        <v/>
      </c>
      <c r="AA132" s="71" t="n">
        <v>128</v>
      </c>
      <c r="AB132" s="71" t="n">
        <v>45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Srirahayu Durumias</t>
        </is>
      </c>
      <c r="C133" s="57" t="inlineStr">
        <is>
          <t>srirahayudurumias@gmail.com</t>
        </is>
      </c>
      <c r="D133" s="57" t="inlineStr">
        <is>
          <t>PCL</t>
        </is>
      </c>
      <c r="E133" s="57" t="inlineStr">
        <is>
          <t>(110) KENDAHE</t>
        </is>
      </c>
      <c r="F133" s="58" t="n">
        <v>242</v>
      </c>
      <c r="G133" s="58" t="n">
        <v>19</v>
      </c>
      <c r="H133" s="59">
        <f>F133+G133</f>
        <v/>
      </c>
      <c r="I133" s="60" t="n">
        <v>47</v>
      </c>
      <c r="J133" s="60" t="n">
        <v>10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47</v>
      </c>
      <c r="P133" s="64" t="n">
        <v>9</v>
      </c>
      <c r="Q133" s="65">
        <f>P133-O133</f>
        <v/>
      </c>
      <c r="R133" s="66" t="n">
        <v>10</v>
      </c>
      <c r="S133" s="66" t="n">
        <v>1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154</v>
      </c>
      <c r="Y133" s="69" t="n">
        <v>14</v>
      </c>
      <c r="Z133" s="70">
        <f>X133+Y133</f>
        <v/>
      </c>
      <c r="AA133" s="71" t="n">
        <v>107</v>
      </c>
      <c r="AB133" s="71" t="n">
        <v>4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Sry Ayu Permatasari Tamamile Manake</t>
        </is>
      </c>
      <c r="C134" s="57" t="inlineStr">
        <is>
          <t>sriayutamamile@gmail.com</t>
        </is>
      </c>
      <c r="D134" s="57" t="inlineStr">
        <is>
          <t>PCL</t>
        </is>
      </c>
      <c r="E134" s="57" t="inlineStr">
        <is>
          <t>(060) TABUKAN SELATAN</t>
        </is>
      </c>
      <c r="F134" s="58" t="n">
        <v>277</v>
      </c>
      <c r="G134" s="58" t="n">
        <v>43</v>
      </c>
      <c r="H134" s="59">
        <f>F134+G134</f>
        <v/>
      </c>
      <c r="I134" s="60" t="n">
        <v>43</v>
      </c>
      <c r="J134" s="60" t="n">
        <v>6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43</v>
      </c>
      <c r="P134" s="64" t="n">
        <v>32</v>
      </c>
      <c r="Q134" s="65">
        <f>P134-O134</f>
        <v/>
      </c>
      <c r="R134" s="66" t="n">
        <v>6</v>
      </c>
      <c r="S134" s="66" t="n">
        <v>1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201</v>
      </c>
      <c r="Y134" s="69" t="n">
        <v>22</v>
      </c>
      <c r="Z134" s="70">
        <f>X134+Y134</f>
        <v/>
      </c>
      <c r="AA134" s="71" t="n">
        <v>158</v>
      </c>
      <c r="AB134" s="71" t="n">
        <v>16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  <row r="135">
      <c r="A135" s="56" t="n">
        <v>132</v>
      </c>
      <c r="B135" s="57" t="inlineStr">
        <is>
          <t>Stevanus Francois Mangeghong</t>
        </is>
      </c>
      <c r="C135" s="57" t="inlineStr">
        <is>
          <t>stivfrancois@gmail.com</t>
        </is>
      </c>
      <c r="D135" s="57" t="inlineStr">
        <is>
          <t>PCL</t>
        </is>
      </c>
      <c r="E135" s="57" t="inlineStr">
        <is>
          <t>(050) TAMAKO</t>
        </is>
      </c>
      <c r="F135" s="58" t="n">
        <v>347</v>
      </c>
      <c r="G135" s="58" t="n">
        <v>18</v>
      </c>
      <c r="H135" s="59">
        <f>F135+G135</f>
        <v/>
      </c>
      <c r="I135" s="60" t="n">
        <v>89</v>
      </c>
      <c r="J135" s="60" t="n">
        <v>10</v>
      </c>
      <c r="K135" s="61">
        <f>I135+J135</f>
        <v/>
      </c>
      <c r="L135" s="62">
        <f>F135-I135</f>
        <v/>
      </c>
      <c r="M135" s="62">
        <f>G135-J135</f>
        <v/>
      </c>
      <c r="N135" s="63">
        <f>L135+M135</f>
        <v/>
      </c>
      <c r="O135" s="64" t="n">
        <v>89</v>
      </c>
      <c r="P135" s="64" t="n">
        <v>21</v>
      </c>
      <c r="Q135" s="65">
        <f>P135-O135</f>
        <v/>
      </c>
      <c r="R135" s="66" t="n">
        <v>10</v>
      </c>
      <c r="S135" s="66" t="n">
        <v>7</v>
      </c>
      <c r="T135" s="67">
        <f>S135-R135</f>
        <v/>
      </c>
      <c r="U135" s="68">
        <f>O135+R135</f>
        <v/>
      </c>
      <c r="V135" s="68">
        <f>P135+S135</f>
        <v/>
      </c>
      <c r="W135" s="68">
        <f>V135-U135</f>
        <v/>
      </c>
      <c r="X135" s="69" t="n">
        <v>289</v>
      </c>
      <c r="Y135" s="69" t="n">
        <v>20</v>
      </c>
      <c r="Z135" s="70">
        <f>X135+Y135</f>
        <v/>
      </c>
      <c r="AA135" s="71" t="n">
        <v>200</v>
      </c>
      <c r="AB135" s="71" t="n">
        <v>10</v>
      </c>
      <c r="AC135" s="72">
        <f>AA135+AB135</f>
        <v/>
      </c>
      <c r="AD135" s="73">
        <f>X135/F135</f>
        <v/>
      </c>
      <c r="AE135" s="73">
        <f>Y135/G135</f>
        <v/>
      </c>
      <c r="AF135" s="73">
        <f>Z135/H135</f>
        <v/>
      </c>
      <c r="AG135" s="73">
        <f>AA135/F135</f>
        <v/>
      </c>
      <c r="AH135" s="73">
        <f>AB135/G135</f>
        <v/>
      </c>
      <c r="AI135" s="73">
        <f>AC135/H135</f>
        <v/>
      </c>
      <c r="AJ135" s="73">
        <f>X135/L135</f>
        <v/>
      </c>
      <c r="AK135" s="73">
        <f>Y135/M135</f>
        <v/>
      </c>
      <c r="AL135" s="73">
        <f>Z135/N135</f>
        <v/>
      </c>
      <c r="AM135" s="73">
        <f>AA135/L135</f>
        <v/>
      </c>
      <c r="AN135" s="73">
        <f>AB135/M135</f>
        <v/>
      </c>
      <c r="AO135" s="73">
        <f>AC135/N135</f>
        <v/>
      </c>
    </row>
    <row r="136">
      <c r="A136" s="56" t="n">
        <v>133</v>
      </c>
      <c r="B136" s="57" t="inlineStr">
        <is>
          <t>Sulastri Bawenti</t>
        </is>
      </c>
      <c r="C136" s="57" t="inlineStr">
        <is>
          <t>sulastribwnti@gmail.com</t>
        </is>
      </c>
      <c r="D136" s="57" t="inlineStr">
        <is>
          <t>PCL</t>
        </is>
      </c>
      <c r="E136" s="57" t="inlineStr">
        <is>
          <t>(100) TABUKAN UTARA</t>
        </is>
      </c>
      <c r="F136" s="58" t="n">
        <v>350</v>
      </c>
      <c r="G136" s="58" t="n">
        <v>25</v>
      </c>
      <c r="H136" s="59">
        <f>F136+G136</f>
        <v/>
      </c>
      <c r="I136" s="60" t="n">
        <v>22</v>
      </c>
      <c r="J136" s="60" t="n">
        <v>4</v>
      </c>
      <c r="K136" s="61">
        <f>I136+J136</f>
        <v/>
      </c>
      <c r="L136" s="62">
        <f>F136-I136</f>
        <v/>
      </c>
      <c r="M136" s="62">
        <f>G136-J136</f>
        <v/>
      </c>
      <c r="N136" s="63">
        <f>L136+M136</f>
        <v/>
      </c>
      <c r="O136" s="64" t="n">
        <v>22</v>
      </c>
      <c r="P136" s="64" t="n">
        <v>101</v>
      </c>
      <c r="Q136" s="65">
        <f>P136-O136</f>
        <v/>
      </c>
      <c r="R136" s="66" t="n">
        <v>4</v>
      </c>
      <c r="S136" s="66" t="n">
        <v>7</v>
      </c>
      <c r="T136" s="67">
        <f>S136-R136</f>
        <v/>
      </c>
      <c r="U136" s="68">
        <f>O136+R136</f>
        <v/>
      </c>
      <c r="V136" s="68">
        <f>P136+S136</f>
        <v/>
      </c>
      <c r="W136" s="68">
        <f>V136-U136</f>
        <v/>
      </c>
      <c r="X136" s="69" t="n">
        <v>246</v>
      </c>
      <c r="Y136" s="69" t="n">
        <v>14</v>
      </c>
      <c r="Z136" s="70">
        <f>X136+Y136</f>
        <v/>
      </c>
      <c r="AA136" s="71" t="n">
        <v>224</v>
      </c>
      <c r="AB136" s="71" t="n">
        <v>10</v>
      </c>
      <c r="AC136" s="72">
        <f>AA136+AB136</f>
        <v/>
      </c>
      <c r="AD136" s="73">
        <f>X136/F136</f>
        <v/>
      </c>
      <c r="AE136" s="73">
        <f>Y136/G136</f>
        <v/>
      </c>
      <c r="AF136" s="73">
        <f>Z136/H136</f>
        <v/>
      </c>
      <c r="AG136" s="73">
        <f>AA136/F136</f>
        <v/>
      </c>
      <c r="AH136" s="73">
        <f>AB136/G136</f>
        <v/>
      </c>
      <c r="AI136" s="73">
        <f>AC136/H136</f>
        <v/>
      </c>
      <c r="AJ136" s="73">
        <f>X136/L136</f>
        <v/>
      </c>
      <c r="AK136" s="73">
        <f>Y136/M136</f>
        <v/>
      </c>
      <c r="AL136" s="73">
        <f>Z136/N136</f>
        <v/>
      </c>
      <c r="AM136" s="73">
        <f>AA136/L136</f>
        <v/>
      </c>
      <c r="AN136" s="73">
        <f>AB136/M136</f>
        <v/>
      </c>
      <c r="AO136" s="73">
        <f>AC136/N136</f>
        <v/>
      </c>
    </row>
    <row r="137">
      <c r="A137" s="56" t="n">
        <v>134</v>
      </c>
      <c r="B137" s="57" t="inlineStr">
        <is>
          <t>Sunardi Tamado</t>
        </is>
      </c>
      <c r="C137" s="57" t="inlineStr">
        <is>
          <t>sunarditamado2@gmail.com</t>
        </is>
      </c>
      <c r="D137" s="57" t="inlineStr">
        <is>
          <t>PCL</t>
        </is>
      </c>
      <c r="E137" s="57" t="inlineStr">
        <is>
          <t>(040) MANGANITU SELATAN</t>
        </is>
      </c>
      <c r="F137" s="58" t="n">
        <v>375</v>
      </c>
      <c r="G137" s="58" t="n">
        <v>53</v>
      </c>
      <c r="H137" s="59">
        <f>F137+G137</f>
        <v/>
      </c>
      <c r="I137" s="60" t="n">
        <v>65</v>
      </c>
      <c r="J137" s="60" t="n">
        <v>34</v>
      </c>
      <c r="K137" s="61">
        <f>I137+J137</f>
        <v/>
      </c>
      <c r="L137" s="62">
        <f>F137-I137</f>
        <v/>
      </c>
      <c r="M137" s="62">
        <f>G137-J137</f>
        <v/>
      </c>
      <c r="N137" s="63">
        <f>L137+M137</f>
        <v/>
      </c>
      <c r="O137" s="64" t="n">
        <v>65</v>
      </c>
      <c r="P137" s="64" t="n">
        <v>46</v>
      </c>
      <c r="Q137" s="65">
        <f>P137-O137</f>
        <v/>
      </c>
      <c r="R137" s="66" t="n">
        <v>34</v>
      </c>
      <c r="S137" s="66" t="n">
        <v>2</v>
      </c>
      <c r="T137" s="67">
        <f>S137-R137</f>
        <v/>
      </c>
      <c r="U137" s="68">
        <f>O137+R137</f>
        <v/>
      </c>
      <c r="V137" s="68">
        <f>P137+S137</f>
        <v/>
      </c>
      <c r="W137" s="68">
        <f>V137-U137</f>
        <v/>
      </c>
      <c r="X137" s="69" t="n">
        <v>346</v>
      </c>
      <c r="Y137" s="69" t="n">
        <v>43</v>
      </c>
      <c r="Z137" s="70">
        <f>X137+Y137</f>
        <v/>
      </c>
      <c r="AA137" s="71" t="n">
        <v>281</v>
      </c>
      <c r="AB137" s="71" t="n">
        <v>9</v>
      </c>
      <c r="AC137" s="72">
        <f>AA137+AB137</f>
        <v/>
      </c>
      <c r="AD137" s="73">
        <f>X137/F137</f>
        <v/>
      </c>
      <c r="AE137" s="73">
        <f>Y137/G137</f>
        <v/>
      </c>
      <c r="AF137" s="73">
        <f>Z137/H137</f>
        <v/>
      </c>
      <c r="AG137" s="73">
        <f>AA137/F137</f>
        <v/>
      </c>
      <c r="AH137" s="73">
        <f>AB137/G137</f>
        <v/>
      </c>
      <c r="AI137" s="73">
        <f>AC137/H137</f>
        <v/>
      </c>
      <c r="AJ137" s="73">
        <f>X137/L137</f>
        <v/>
      </c>
      <c r="AK137" s="73">
        <f>Y137/M137</f>
        <v/>
      </c>
      <c r="AL137" s="73">
        <f>Z137/N137</f>
        <v/>
      </c>
      <c r="AM137" s="73">
        <f>AA137/L137</f>
        <v/>
      </c>
      <c r="AN137" s="73">
        <f>AB137/M137</f>
        <v/>
      </c>
      <c r="AO137" s="73">
        <f>AC137/N137</f>
        <v/>
      </c>
    </row>
    <row r="138">
      <c r="A138" s="56" t="n">
        <v>135</v>
      </c>
      <c r="B138" s="57" t="inlineStr">
        <is>
          <t>Suryaningsi Dorthea Lalompoh</t>
        </is>
      </c>
      <c r="C138" s="57" t="inlineStr">
        <is>
          <t>indrydorthea@gmail.com</t>
        </is>
      </c>
      <c r="D138" s="57" t="inlineStr">
        <is>
          <t>PCL</t>
        </is>
      </c>
      <c r="E138" s="57" t="inlineStr">
        <is>
          <t>(070) TABUKAN TENGAH</t>
        </is>
      </c>
      <c r="F138" s="58" t="n">
        <v>296</v>
      </c>
      <c r="G138" s="58" t="n">
        <v>29</v>
      </c>
      <c r="H138" s="59">
        <f>F138+G138</f>
        <v/>
      </c>
      <c r="I138" s="60" t="n">
        <v>24</v>
      </c>
      <c r="J138" s="60" t="n">
        <v>10</v>
      </c>
      <c r="K138" s="61">
        <f>I138+J138</f>
        <v/>
      </c>
      <c r="L138" s="62">
        <f>F138-I138</f>
        <v/>
      </c>
      <c r="M138" s="62">
        <f>G138-J138</f>
        <v/>
      </c>
      <c r="N138" s="63">
        <f>L138+M138</f>
        <v/>
      </c>
      <c r="O138" s="64" t="n">
        <v>24</v>
      </c>
      <c r="P138" s="64" t="n">
        <v>85</v>
      </c>
      <c r="Q138" s="65">
        <f>P138-O138</f>
        <v/>
      </c>
      <c r="R138" s="66" t="n">
        <v>10</v>
      </c>
      <c r="S138" s="66" t="n">
        <v>8</v>
      </c>
      <c r="T138" s="67">
        <f>S138-R138</f>
        <v/>
      </c>
      <c r="U138" s="68">
        <f>O138+R138</f>
        <v/>
      </c>
      <c r="V138" s="68">
        <f>P138+S138</f>
        <v/>
      </c>
      <c r="W138" s="68">
        <f>V138-U138</f>
        <v/>
      </c>
      <c r="X138" s="69" t="n">
        <v>164</v>
      </c>
      <c r="Y138" s="69" t="n">
        <v>24</v>
      </c>
      <c r="Z138" s="70">
        <f>X138+Y138</f>
        <v/>
      </c>
      <c r="AA138" s="71" t="n">
        <v>140</v>
      </c>
      <c r="AB138" s="71" t="n">
        <v>14</v>
      </c>
      <c r="AC138" s="72">
        <f>AA138+AB138</f>
        <v/>
      </c>
      <c r="AD138" s="73">
        <f>X138/F138</f>
        <v/>
      </c>
      <c r="AE138" s="73">
        <f>Y138/G138</f>
        <v/>
      </c>
      <c r="AF138" s="73">
        <f>Z138/H138</f>
        <v/>
      </c>
      <c r="AG138" s="73">
        <f>AA138/F138</f>
        <v/>
      </c>
      <c r="AH138" s="73">
        <f>AB138/G138</f>
        <v/>
      </c>
      <c r="AI138" s="73">
        <f>AC138/H138</f>
        <v/>
      </c>
      <c r="AJ138" s="73">
        <f>X138/L138</f>
        <v/>
      </c>
      <c r="AK138" s="73">
        <f>Y138/M138</f>
        <v/>
      </c>
      <c r="AL138" s="73">
        <f>Z138/N138</f>
        <v/>
      </c>
      <c r="AM138" s="73">
        <f>AA138/L138</f>
        <v/>
      </c>
      <c r="AN138" s="73">
        <f>AB138/M138</f>
        <v/>
      </c>
      <c r="AO138" s="73">
        <f>AC138/N138</f>
        <v/>
      </c>
    </row>
    <row r="139">
      <c r="A139" s="56" t="n">
        <v>136</v>
      </c>
      <c r="B139" s="57" t="inlineStr">
        <is>
          <t>Sutrisno Sariang</t>
        </is>
      </c>
      <c r="C139" s="57" t="inlineStr">
        <is>
          <t>sutrisnosariang90@gmail.com</t>
        </is>
      </c>
      <c r="D139" s="57" t="inlineStr">
        <is>
          <t>PML</t>
        </is>
      </c>
      <c r="E139" s="57" t="inlineStr">
        <is>
          <t>(100) TABUKAN UTARA &amp; (101) NUSA TABUKAN</t>
        </is>
      </c>
      <c r="F139" s="58" t="n">
        <v>1646</v>
      </c>
      <c r="G139" s="58" t="n">
        <v>227</v>
      </c>
      <c r="H139" s="59">
        <f>F139+G139</f>
        <v/>
      </c>
      <c r="I139" s="60" t="n">
        <v>126</v>
      </c>
      <c r="J139" s="60" t="n">
        <v>92</v>
      </c>
      <c r="K139" s="61">
        <f>I139+J139</f>
        <v/>
      </c>
      <c r="L139" s="62">
        <f>F139-I139</f>
        <v/>
      </c>
      <c r="M139" s="62">
        <f>G139-J139</f>
        <v/>
      </c>
      <c r="N139" s="63">
        <f>L139+M139</f>
        <v/>
      </c>
      <c r="O139" s="64" t="n">
        <v>126</v>
      </c>
      <c r="P139" s="64" t="n">
        <v>305</v>
      </c>
      <c r="Q139" s="65">
        <f>P139-O139</f>
        <v/>
      </c>
      <c r="R139" s="66" t="n">
        <v>92</v>
      </c>
      <c r="S139" s="66" t="n">
        <v>116</v>
      </c>
      <c r="T139" s="67">
        <f>S139-R139</f>
        <v/>
      </c>
      <c r="U139" s="68">
        <f>O139+R139</f>
        <v/>
      </c>
      <c r="V139" s="68">
        <f>P139+S139</f>
        <v/>
      </c>
      <c r="W139" s="68">
        <f>V139-U139</f>
        <v/>
      </c>
      <c r="X139" s="69" t="n">
        <v>1369</v>
      </c>
      <c r="Y139" s="69" t="n">
        <v>282</v>
      </c>
      <c r="Z139" s="70">
        <f>X139+Y139</f>
        <v/>
      </c>
      <c r="AA139" s="71" t="n">
        <v>1243</v>
      </c>
      <c r="AB139" s="71" t="n">
        <v>190</v>
      </c>
      <c r="AC139" s="72">
        <f>AA139+AB139</f>
        <v/>
      </c>
      <c r="AD139" s="73">
        <f>X139/F139</f>
        <v/>
      </c>
      <c r="AE139" s="73">
        <f>Y139/G139</f>
        <v/>
      </c>
      <c r="AF139" s="73">
        <f>Z139/H139</f>
        <v/>
      </c>
      <c r="AG139" s="73">
        <f>AA139/F139</f>
        <v/>
      </c>
      <c r="AH139" s="73">
        <f>AB139/G139</f>
        <v/>
      </c>
      <c r="AI139" s="73">
        <f>AC139/H139</f>
        <v/>
      </c>
      <c r="AJ139" s="73">
        <f>X139/L139</f>
        <v/>
      </c>
      <c r="AK139" s="73">
        <f>Y139/M139</f>
        <v/>
      </c>
      <c r="AL139" s="73">
        <f>Z139/N139</f>
        <v/>
      </c>
      <c r="AM139" s="73">
        <f>AA139/L139</f>
        <v/>
      </c>
      <c r="AN139" s="73">
        <f>AB139/M139</f>
        <v/>
      </c>
      <c r="AO139" s="73">
        <f>AC139/N139</f>
        <v/>
      </c>
    </row>
    <row r="140">
      <c r="A140" s="56" t="n">
        <v>137</v>
      </c>
      <c r="B140" s="57" t="inlineStr">
        <is>
          <t>Svidania Kundiman</t>
        </is>
      </c>
      <c r="C140" s="57" t="inlineStr">
        <is>
          <t>spidaniakundimang@gmail.com</t>
        </is>
      </c>
      <c r="D140" s="57" t="inlineStr">
        <is>
          <t>PCL</t>
        </is>
      </c>
      <c r="E140" s="57" t="inlineStr">
        <is>
          <t>(070) TABUKAN TENGAH</t>
        </is>
      </c>
      <c r="F140" s="58" t="n">
        <v>309</v>
      </c>
      <c r="G140" s="58" t="n">
        <v>25</v>
      </c>
      <c r="H140" s="59">
        <f>F140+G140</f>
        <v/>
      </c>
      <c r="I140" s="60" t="n">
        <v>38</v>
      </c>
      <c r="J140" s="60" t="n">
        <v>8</v>
      </c>
      <c r="K140" s="61">
        <f>I140+J140</f>
        <v/>
      </c>
      <c r="L140" s="62">
        <f>F140-I140</f>
        <v/>
      </c>
      <c r="M140" s="62">
        <f>G140-J140</f>
        <v/>
      </c>
      <c r="N140" s="63">
        <f>L140+M140</f>
        <v/>
      </c>
      <c r="O140" s="64" t="n">
        <v>38</v>
      </c>
      <c r="P140" s="64" t="n">
        <v>40</v>
      </c>
      <c r="Q140" s="65">
        <f>P140-O140</f>
        <v/>
      </c>
      <c r="R140" s="66" t="n">
        <v>8</v>
      </c>
      <c r="S140" s="66" t="n">
        <v>6</v>
      </c>
      <c r="T140" s="67">
        <f>S140-R140</f>
        <v/>
      </c>
      <c r="U140" s="68">
        <f>O140+R140</f>
        <v/>
      </c>
      <c r="V140" s="68">
        <f>P140+S140</f>
        <v/>
      </c>
      <c r="W140" s="68">
        <f>V140-U140</f>
        <v/>
      </c>
      <c r="X140" s="69" t="n">
        <v>164</v>
      </c>
      <c r="Y140" s="69" t="n">
        <v>21</v>
      </c>
      <c r="Z140" s="70">
        <f>X140+Y140</f>
        <v/>
      </c>
      <c r="AA140" s="71" t="n">
        <v>126</v>
      </c>
      <c r="AB140" s="71" t="n">
        <v>13</v>
      </c>
      <c r="AC140" s="72">
        <f>AA140+AB140</f>
        <v/>
      </c>
      <c r="AD140" s="73">
        <f>X140/F140</f>
        <v/>
      </c>
      <c r="AE140" s="73">
        <f>Y140/G140</f>
        <v/>
      </c>
      <c r="AF140" s="73">
        <f>Z140/H140</f>
        <v/>
      </c>
      <c r="AG140" s="73">
        <f>AA140/F140</f>
        <v/>
      </c>
      <c r="AH140" s="73">
        <f>AB140/G140</f>
        <v/>
      </c>
      <c r="AI140" s="73">
        <f>AC140/H140</f>
        <v/>
      </c>
      <c r="AJ140" s="73">
        <f>X140/L140</f>
        <v/>
      </c>
      <c r="AK140" s="73">
        <f>Y140/M140</f>
        <v/>
      </c>
      <c r="AL140" s="73">
        <f>Z140/N140</f>
        <v/>
      </c>
      <c r="AM140" s="73">
        <f>AA140/L140</f>
        <v/>
      </c>
      <c r="AN140" s="73">
        <f>AB140/M140</f>
        <v/>
      </c>
      <c r="AO140" s="73">
        <f>AC140/N140</f>
        <v/>
      </c>
    </row>
    <row r="141">
      <c r="A141" s="56" t="n">
        <v>138</v>
      </c>
      <c r="B141" s="57" t="inlineStr">
        <is>
          <t>Syamsia Makaminan</t>
        </is>
      </c>
      <c r="C141" s="57" t="inlineStr">
        <is>
          <t>makaminansia79@gmail.com</t>
        </is>
      </c>
      <c r="D141" s="57" t="inlineStr">
        <is>
          <t>PCL</t>
        </is>
      </c>
      <c r="E141" s="57" t="inlineStr">
        <is>
          <t>(100) TABUKAN UTARA</t>
        </is>
      </c>
      <c r="F141" s="58" t="n">
        <v>258</v>
      </c>
      <c r="G141" s="58" t="n">
        <v>74</v>
      </c>
      <c r="H141" s="59">
        <f>F141+G141</f>
        <v/>
      </c>
      <c r="I141" s="60" t="n">
        <v>36</v>
      </c>
      <c r="J141" s="60" t="n">
        <v>48</v>
      </c>
      <c r="K141" s="61">
        <f>I141+J141</f>
        <v/>
      </c>
      <c r="L141" s="62">
        <f>F141-I141</f>
        <v/>
      </c>
      <c r="M141" s="62">
        <f>G141-J141</f>
        <v/>
      </c>
      <c r="N141" s="63">
        <f>L141+M141</f>
        <v/>
      </c>
      <c r="O141" s="64" t="n">
        <v>36</v>
      </c>
      <c r="P141" s="64" t="n">
        <v>80</v>
      </c>
      <c r="Q141" s="65">
        <f>P141-O141</f>
        <v/>
      </c>
      <c r="R141" s="66" t="n">
        <v>48</v>
      </c>
      <c r="S141" s="66" t="n">
        <v>64</v>
      </c>
      <c r="T141" s="67">
        <f>S141-R141</f>
        <v/>
      </c>
      <c r="U141" s="68">
        <f>O141+R141</f>
        <v/>
      </c>
      <c r="V141" s="68">
        <f>P141+S141</f>
        <v/>
      </c>
      <c r="W141" s="68">
        <f>V141-U141</f>
        <v/>
      </c>
      <c r="X141" s="69" t="n">
        <v>258</v>
      </c>
      <c r="Y141" s="69" t="n">
        <v>137</v>
      </c>
      <c r="Z141" s="70">
        <f>X141+Y141</f>
        <v/>
      </c>
      <c r="AA141" s="71" t="n">
        <v>222</v>
      </c>
      <c r="AB141" s="71" t="n">
        <v>89</v>
      </c>
      <c r="AC141" s="72">
        <f>AA141+AB141</f>
        <v/>
      </c>
      <c r="AD141" s="73">
        <f>X141/F141</f>
        <v/>
      </c>
      <c r="AE141" s="73">
        <f>Y141/G141</f>
        <v/>
      </c>
      <c r="AF141" s="73">
        <f>Z141/H141</f>
        <v/>
      </c>
      <c r="AG141" s="73">
        <f>AA141/F141</f>
        <v/>
      </c>
      <c r="AH141" s="73">
        <f>AB141/G141</f>
        <v/>
      </c>
      <c r="AI141" s="73">
        <f>AC141/H141</f>
        <v/>
      </c>
      <c r="AJ141" s="73">
        <f>X141/L141</f>
        <v/>
      </c>
      <c r="AK141" s="73">
        <f>Y141/M141</f>
        <v/>
      </c>
      <c r="AL141" s="73">
        <f>Z141/N141</f>
        <v/>
      </c>
      <c r="AM141" s="73">
        <f>AA141/L141</f>
        <v/>
      </c>
      <c r="AN141" s="73">
        <f>AB141/M141</f>
        <v/>
      </c>
      <c r="AO141" s="73">
        <f>AC141/N141</f>
        <v/>
      </c>
    </row>
    <row r="142">
      <c r="A142" s="56" t="n">
        <v>139</v>
      </c>
      <c r="B142" s="57" t="inlineStr">
        <is>
          <t>Tia Ivanca Christy Pangandaheng</t>
        </is>
      </c>
      <c r="C142" s="57" t="inlineStr">
        <is>
          <t>pngndhngtia@gmail.com</t>
        </is>
      </c>
      <c r="D142" s="57" t="inlineStr">
        <is>
          <t>PCL</t>
        </is>
      </c>
      <c r="E142" s="57" t="inlineStr">
        <is>
          <t>(060) TABUKAN SELATAN</t>
        </is>
      </c>
      <c r="F142" s="58" t="n">
        <v>289</v>
      </c>
      <c r="G142" s="58" t="n">
        <v>24</v>
      </c>
      <c r="H142" s="59">
        <f>F142+G142</f>
        <v/>
      </c>
      <c r="I142" s="60" t="n">
        <v>49</v>
      </c>
      <c r="J142" s="60" t="n">
        <v>16</v>
      </c>
      <c r="K142" s="61">
        <f>I142+J142</f>
        <v/>
      </c>
      <c r="L142" s="62">
        <f>F142-I142</f>
        <v/>
      </c>
      <c r="M142" s="62">
        <f>G142-J142</f>
        <v/>
      </c>
      <c r="N142" s="63">
        <f>L142+M142</f>
        <v/>
      </c>
      <c r="O142" s="64" t="n">
        <v>49</v>
      </c>
      <c r="P142" s="64" t="n">
        <v>55</v>
      </c>
      <c r="Q142" s="65">
        <f>P142-O142</f>
        <v/>
      </c>
      <c r="R142" s="66" t="n">
        <v>16</v>
      </c>
      <c r="S142" s="66" t="n">
        <v>4</v>
      </c>
      <c r="T142" s="67">
        <f>S142-R142</f>
        <v/>
      </c>
      <c r="U142" s="68">
        <f>O142+R142</f>
        <v/>
      </c>
      <c r="V142" s="68">
        <f>P142+S142</f>
        <v/>
      </c>
      <c r="W142" s="68">
        <f>V142-U142</f>
        <v/>
      </c>
      <c r="X142" s="69" t="n">
        <v>225</v>
      </c>
      <c r="Y142" s="69" t="n">
        <v>21</v>
      </c>
      <c r="Z142" s="70">
        <f>X142+Y142</f>
        <v/>
      </c>
      <c r="AA142" s="71" t="n">
        <v>176</v>
      </c>
      <c r="AB142" s="71" t="n">
        <v>5</v>
      </c>
      <c r="AC142" s="72">
        <f>AA142+AB142</f>
        <v/>
      </c>
      <c r="AD142" s="73">
        <f>X142/F142</f>
        <v/>
      </c>
      <c r="AE142" s="73">
        <f>Y142/G142</f>
        <v/>
      </c>
      <c r="AF142" s="73">
        <f>Z142/H142</f>
        <v/>
      </c>
      <c r="AG142" s="73">
        <f>AA142/F142</f>
        <v/>
      </c>
      <c r="AH142" s="73">
        <f>AB142/G142</f>
        <v/>
      </c>
      <c r="AI142" s="73">
        <f>AC142/H142</f>
        <v/>
      </c>
      <c r="AJ142" s="73">
        <f>X142/L142</f>
        <v/>
      </c>
      <c r="AK142" s="73">
        <f>Y142/M142</f>
        <v/>
      </c>
      <c r="AL142" s="73">
        <f>Z142/N142</f>
        <v/>
      </c>
      <c r="AM142" s="73">
        <f>AA142/L142</f>
        <v/>
      </c>
      <c r="AN142" s="73">
        <f>AB142/M142</f>
        <v/>
      </c>
      <c r="AO142" s="73">
        <f>AC142/N142</f>
        <v/>
      </c>
    </row>
    <row r="143">
      <c r="A143" s="56" t="n">
        <v>140</v>
      </c>
      <c r="B143" s="57" t="inlineStr">
        <is>
          <t>Titien Kurniawati Lamorahan</t>
        </is>
      </c>
      <c r="C143" s="57" t="inlineStr">
        <is>
          <t>lamorahantitien@gmail.com</t>
        </is>
      </c>
      <c r="D143" s="57" t="inlineStr">
        <is>
          <t>PCL</t>
        </is>
      </c>
      <c r="E143" s="57" t="inlineStr">
        <is>
          <t>(061) TABUKAN SELATAN TENGAH</t>
        </is>
      </c>
      <c r="F143" s="58" t="n">
        <v>236</v>
      </c>
      <c r="G143" s="58" t="n">
        <v>60</v>
      </c>
      <c r="H143" s="59">
        <f>F143+G143</f>
        <v/>
      </c>
      <c r="I143" s="60" t="n">
        <v>41</v>
      </c>
      <c r="J143" s="60" t="n">
        <v>19</v>
      </c>
      <c r="K143" s="61">
        <f>I143+J143</f>
        <v/>
      </c>
      <c r="L143" s="62">
        <f>F143-I143</f>
        <v/>
      </c>
      <c r="M143" s="62">
        <f>G143-J143</f>
        <v/>
      </c>
      <c r="N143" s="63">
        <f>L143+M143</f>
        <v/>
      </c>
      <c r="O143" s="64" t="n">
        <v>41</v>
      </c>
      <c r="P143" s="64" t="n">
        <v>22</v>
      </c>
      <c r="Q143" s="65">
        <f>P143-O143</f>
        <v/>
      </c>
      <c r="R143" s="66" t="n">
        <v>19</v>
      </c>
      <c r="S143" s="66" t="n">
        <v>6</v>
      </c>
      <c r="T143" s="67">
        <f>S143-R143</f>
        <v/>
      </c>
      <c r="U143" s="68">
        <f>O143+R143</f>
        <v/>
      </c>
      <c r="V143" s="68">
        <f>P143+S143</f>
        <v/>
      </c>
      <c r="W143" s="68">
        <f>V143-U143</f>
        <v/>
      </c>
      <c r="X143" s="69" t="n">
        <v>164</v>
      </c>
      <c r="Y143" s="69" t="n">
        <v>48</v>
      </c>
      <c r="Z143" s="70">
        <f>X143+Y143</f>
        <v/>
      </c>
      <c r="AA143" s="71" t="n">
        <v>123</v>
      </c>
      <c r="AB143" s="71" t="n">
        <v>29</v>
      </c>
      <c r="AC143" s="72">
        <f>AA143+AB143</f>
        <v/>
      </c>
      <c r="AD143" s="73">
        <f>X143/F143</f>
        <v/>
      </c>
      <c r="AE143" s="73">
        <f>Y143/G143</f>
        <v/>
      </c>
      <c r="AF143" s="73">
        <f>Z143/H143</f>
        <v/>
      </c>
      <c r="AG143" s="73">
        <f>AA143/F143</f>
        <v/>
      </c>
      <c r="AH143" s="73">
        <f>AB143/G143</f>
        <v/>
      </c>
      <c r="AI143" s="73">
        <f>AC143/H143</f>
        <v/>
      </c>
      <c r="AJ143" s="73">
        <f>X143/L143</f>
        <v/>
      </c>
      <c r="AK143" s="73">
        <f>Y143/M143</f>
        <v/>
      </c>
      <c r="AL143" s="73">
        <f>Z143/N143</f>
        <v/>
      </c>
      <c r="AM143" s="73">
        <f>AA143/L143</f>
        <v/>
      </c>
      <c r="AN143" s="73">
        <f>AB143/M143</f>
        <v/>
      </c>
      <c r="AO143" s="73">
        <f>AC143/N143</f>
        <v/>
      </c>
    </row>
    <row r="144">
      <c r="A144" s="56" t="n">
        <v>141</v>
      </c>
      <c r="B144" s="57" t="inlineStr">
        <is>
          <t>Vania Gavrila Lakada</t>
        </is>
      </c>
      <c r="C144" s="57" t="inlineStr">
        <is>
          <t>nialakada18@gmail.com</t>
        </is>
      </c>
      <c r="D144" s="57" t="inlineStr">
        <is>
          <t>PCL</t>
        </is>
      </c>
      <c r="E144" s="57" t="inlineStr">
        <is>
          <t>(080) MANGANITU</t>
        </is>
      </c>
      <c r="F144" s="58" t="n">
        <v>273</v>
      </c>
      <c r="G144" s="58" t="n">
        <v>93</v>
      </c>
      <c r="H144" s="59">
        <f>F144+G144</f>
        <v/>
      </c>
      <c r="I144" s="60" t="n">
        <v>10</v>
      </c>
      <c r="J144" s="60" t="n">
        <v>15</v>
      </c>
      <c r="K144" s="61">
        <f>I144+J144</f>
        <v/>
      </c>
      <c r="L144" s="62">
        <f>F144-I144</f>
        <v/>
      </c>
      <c r="M144" s="62">
        <f>G144-J144</f>
        <v/>
      </c>
      <c r="N144" s="63">
        <f>L144+M144</f>
        <v/>
      </c>
      <c r="O144" s="64" t="n">
        <v>10</v>
      </c>
      <c r="P144" s="64" t="n">
        <v>53</v>
      </c>
      <c r="Q144" s="65">
        <f>P144-O144</f>
        <v/>
      </c>
      <c r="R144" s="66" t="n">
        <v>15</v>
      </c>
      <c r="S144" s="66" t="n">
        <v>13</v>
      </c>
      <c r="T144" s="67">
        <f>S144-R144</f>
        <v/>
      </c>
      <c r="U144" s="68">
        <f>O144+R144</f>
        <v/>
      </c>
      <c r="V144" s="68">
        <f>P144+S144</f>
        <v/>
      </c>
      <c r="W144" s="68">
        <f>V144-U144</f>
        <v/>
      </c>
      <c r="X144" s="69" t="n">
        <v>175</v>
      </c>
      <c r="Y144" s="69" t="n">
        <v>52</v>
      </c>
      <c r="Z144" s="70">
        <f>X144+Y144</f>
        <v/>
      </c>
      <c r="AA144" s="71" t="n">
        <v>165</v>
      </c>
      <c r="AB144" s="71" t="n">
        <v>37</v>
      </c>
      <c r="AC144" s="72">
        <f>AA144+AB144</f>
        <v/>
      </c>
      <c r="AD144" s="73">
        <f>X144/F144</f>
        <v/>
      </c>
      <c r="AE144" s="73">
        <f>Y144/G144</f>
        <v/>
      </c>
      <c r="AF144" s="73">
        <f>Z144/H144</f>
        <v/>
      </c>
      <c r="AG144" s="73">
        <f>AA144/F144</f>
        <v/>
      </c>
      <c r="AH144" s="73">
        <f>AB144/G144</f>
        <v/>
      </c>
      <c r="AI144" s="73">
        <f>AC144/H144</f>
        <v/>
      </c>
      <c r="AJ144" s="73">
        <f>X144/L144</f>
        <v/>
      </c>
      <c r="AK144" s="73">
        <f>Y144/M144</f>
        <v/>
      </c>
      <c r="AL144" s="73">
        <f>Z144/N144</f>
        <v/>
      </c>
      <c r="AM144" s="73">
        <f>AA144/L144</f>
        <v/>
      </c>
      <c r="AN144" s="73">
        <f>AB144/M144</f>
        <v/>
      </c>
      <c r="AO144" s="73">
        <f>AC144/N144</f>
        <v/>
      </c>
    </row>
    <row r="145">
      <c r="A145" s="56" t="n">
        <v>142</v>
      </c>
      <c r="B145" s="57" t="inlineStr">
        <is>
          <t>Vera Angelita Tangkabiringan</t>
        </is>
      </c>
      <c r="C145" s="57" t="inlineStr">
        <is>
          <t>eiya.angelita@gmail.com</t>
        </is>
      </c>
      <c r="D145" s="57" t="inlineStr">
        <is>
          <t>PCL</t>
        </is>
      </c>
      <c r="E145" s="57" t="inlineStr">
        <is>
          <t>(090) TAHUNA</t>
        </is>
      </c>
      <c r="F145" s="58" t="n">
        <v>397</v>
      </c>
      <c r="G145" s="58" t="n">
        <v>16</v>
      </c>
      <c r="H145" s="59">
        <f>F145+G145</f>
        <v/>
      </c>
      <c r="I145" s="60" t="n">
        <v>42</v>
      </c>
      <c r="J145" s="60" t="n">
        <v>5</v>
      </c>
      <c r="K145" s="61">
        <f>I145+J145</f>
        <v/>
      </c>
      <c r="L145" s="62">
        <f>F145-I145</f>
        <v/>
      </c>
      <c r="M145" s="62">
        <f>G145-J145</f>
        <v/>
      </c>
      <c r="N145" s="63">
        <f>L145+M145</f>
        <v/>
      </c>
      <c r="O145" s="64" t="n">
        <v>42</v>
      </c>
      <c r="P145" s="64" t="n">
        <v>104</v>
      </c>
      <c r="Q145" s="65">
        <f>P145-O145</f>
        <v/>
      </c>
      <c r="R145" s="66" t="n">
        <v>5</v>
      </c>
      <c r="S145" s="66" t="n">
        <v>4</v>
      </c>
      <c r="T145" s="67">
        <f>S145-R145</f>
        <v/>
      </c>
      <c r="U145" s="68">
        <f>O145+R145</f>
        <v/>
      </c>
      <c r="V145" s="68">
        <f>P145+S145</f>
        <v/>
      </c>
      <c r="W145" s="68">
        <f>V145-U145</f>
        <v/>
      </c>
      <c r="X145" s="69" t="n">
        <v>273</v>
      </c>
      <c r="Y145" s="69" t="n">
        <v>10</v>
      </c>
      <c r="Z145" s="70">
        <f>X145+Y145</f>
        <v/>
      </c>
      <c r="AA145" s="71" t="n">
        <v>231</v>
      </c>
      <c r="AB145" s="71" t="n">
        <v>5</v>
      </c>
      <c r="AC145" s="72">
        <f>AA145+AB145</f>
        <v/>
      </c>
      <c r="AD145" s="73">
        <f>X145/F145</f>
        <v/>
      </c>
      <c r="AE145" s="73">
        <f>Y145/G145</f>
        <v/>
      </c>
      <c r="AF145" s="73">
        <f>Z145/H145</f>
        <v/>
      </c>
      <c r="AG145" s="73">
        <f>AA145/F145</f>
        <v/>
      </c>
      <c r="AH145" s="73">
        <f>AB145/G145</f>
        <v/>
      </c>
      <c r="AI145" s="73">
        <f>AC145/H145</f>
        <v/>
      </c>
      <c r="AJ145" s="73">
        <f>X145/L145</f>
        <v/>
      </c>
      <c r="AK145" s="73">
        <f>Y145/M145</f>
        <v/>
      </c>
      <c r="AL145" s="73">
        <f>Z145/N145</f>
        <v/>
      </c>
      <c r="AM145" s="73">
        <f>AA145/L145</f>
        <v/>
      </c>
      <c r="AN145" s="73">
        <f>AB145/M145</f>
        <v/>
      </c>
      <c r="AO145" s="73">
        <f>AC145/N145</f>
        <v/>
      </c>
    </row>
    <row r="146">
      <c r="A146" s="56" t="n">
        <v>143</v>
      </c>
      <c r="B146" s="57" t="inlineStr">
        <is>
          <t>Verawati Cristy Lolaroh</t>
        </is>
      </c>
      <c r="C146" s="57" t="inlineStr">
        <is>
          <t>verawaticristylolaroh02@gmail.com</t>
        </is>
      </c>
      <c r="D146" s="57" t="inlineStr">
        <is>
          <t>PCL</t>
        </is>
      </c>
      <c r="E146" s="57" t="inlineStr">
        <is>
          <t>(091) TAHUNA TIMUR</t>
        </is>
      </c>
      <c r="F146" s="58" t="n">
        <v>346</v>
      </c>
      <c r="G146" s="58" t="n">
        <v>54</v>
      </c>
      <c r="H146" s="59">
        <f>F146+G146</f>
        <v/>
      </c>
      <c r="I146" s="60" t="n">
        <v>58</v>
      </c>
      <c r="J146" s="60" t="n">
        <v>10</v>
      </c>
      <c r="K146" s="61">
        <f>I146+J146</f>
        <v/>
      </c>
      <c r="L146" s="62">
        <f>F146-I146</f>
        <v/>
      </c>
      <c r="M146" s="62">
        <f>G146-J146</f>
        <v/>
      </c>
      <c r="N146" s="63">
        <f>L146+M146</f>
        <v/>
      </c>
      <c r="O146" s="64" t="n">
        <v>58</v>
      </c>
      <c r="P146" s="64" t="n">
        <v>70</v>
      </c>
      <c r="Q146" s="65">
        <f>P146-O146</f>
        <v/>
      </c>
      <c r="R146" s="66" t="n">
        <v>10</v>
      </c>
      <c r="S146" s="66" t="n">
        <v>14</v>
      </c>
      <c r="T146" s="67">
        <f>S146-R146</f>
        <v/>
      </c>
      <c r="U146" s="68">
        <f>O146+R146</f>
        <v/>
      </c>
      <c r="V146" s="68">
        <f>P146+S146</f>
        <v/>
      </c>
      <c r="W146" s="68">
        <f>V146-U146</f>
        <v/>
      </c>
      <c r="X146" s="69" t="n">
        <v>238</v>
      </c>
      <c r="Y146" s="69" t="n">
        <v>29</v>
      </c>
      <c r="Z146" s="70">
        <f>X146+Y146</f>
        <v/>
      </c>
      <c r="AA146" s="71" t="n">
        <v>180</v>
      </c>
      <c r="AB146" s="71" t="n">
        <v>19</v>
      </c>
      <c r="AC146" s="72">
        <f>AA146+AB146</f>
        <v/>
      </c>
      <c r="AD146" s="73">
        <f>X146/F146</f>
        <v/>
      </c>
      <c r="AE146" s="73">
        <f>Y146/G146</f>
        <v/>
      </c>
      <c r="AF146" s="73">
        <f>Z146/H146</f>
        <v/>
      </c>
      <c r="AG146" s="73">
        <f>AA146/F146</f>
        <v/>
      </c>
      <c r="AH146" s="73">
        <f>AB146/G146</f>
        <v/>
      </c>
      <c r="AI146" s="73">
        <f>AC146/H146</f>
        <v/>
      </c>
      <c r="AJ146" s="73">
        <f>X146/L146</f>
        <v/>
      </c>
      <c r="AK146" s="73">
        <f>Y146/M146</f>
        <v/>
      </c>
      <c r="AL146" s="73">
        <f>Z146/N146</f>
        <v/>
      </c>
      <c r="AM146" s="73">
        <f>AA146/L146</f>
        <v/>
      </c>
      <c r="AN146" s="73">
        <f>AB146/M146</f>
        <v/>
      </c>
      <c r="AO146" s="73">
        <f>AC146/N146</f>
        <v/>
      </c>
    </row>
    <row r="147">
      <c r="A147" s="56" t="n">
        <v>144</v>
      </c>
      <c r="B147" s="57" t="inlineStr">
        <is>
          <t>Veronika Saletia</t>
        </is>
      </c>
      <c r="C147" s="57" t="inlineStr">
        <is>
          <t>saletiaveronika@gmail.com</t>
        </is>
      </c>
      <c r="D147" s="57" t="inlineStr">
        <is>
          <t>PCL</t>
        </is>
      </c>
      <c r="E147" s="57" t="inlineStr">
        <is>
          <t>(040) MANGANITU SELATAN</t>
        </is>
      </c>
      <c r="F147" s="58" t="n">
        <v>291</v>
      </c>
      <c r="G147" s="58" t="n">
        <v>25</v>
      </c>
      <c r="H147" s="59">
        <f>F147+G147</f>
        <v/>
      </c>
      <c r="I147" s="60" t="n">
        <v>42</v>
      </c>
      <c r="J147" s="60" t="n">
        <v>9</v>
      </c>
      <c r="K147" s="61">
        <f>I147+J147</f>
        <v/>
      </c>
      <c r="L147" s="62">
        <f>F147-I147</f>
        <v/>
      </c>
      <c r="M147" s="62">
        <f>G147-J147</f>
        <v/>
      </c>
      <c r="N147" s="63">
        <f>L147+M147</f>
        <v/>
      </c>
      <c r="O147" s="64" t="n">
        <v>42</v>
      </c>
      <c r="P147" s="64" t="n">
        <v>43</v>
      </c>
      <c r="Q147" s="65">
        <f>P147-O147</f>
        <v/>
      </c>
      <c r="R147" s="66" t="n">
        <v>9</v>
      </c>
      <c r="S147" s="66" t="n">
        <v>5</v>
      </c>
      <c r="T147" s="67">
        <f>S147-R147</f>
        <v/>
      </c>
      <c r="U147" s="68">
        <f>O147+R147</f>
        <v/>
      </c>
      <c r="V147" s="68">
        <f>P147+S147</f>
        <v/>
      </c>
      <c r="W147" s="68">
        <f>V147-U147</f>
        <v/>
      </c>
      <c r="X147" s="69" t="n">
        <v>271</v>
      </c>
      <c r="Y147" s="69" t="n">
        <v>26</v>
      </c>
      <c r="Z147" s="70">
        <f>X147+Y147</f>
        <v/>
      </c>
      <c r="AA147" s="71" t="n">
        <v>229</v>
      </c>
      <c r="AB147" s="71" t="n">
        <v>17</v>
      </c>
      <c r="AC147" s="72">
        <f>AA147+AB147</f>
        <v/>
      </c>
      <c r="AD147" s="73">
        <f>X147/F147</f>
        <v/>
      </c>
      <c r="AE147" s="73">
        <f>Y147/G147</f>
        <v/>
      </c>
      <c r="AF147" s="73">
        <f>Z147/H147</f>
        <v/>
      </c>
      <c r="AG147" s="73">
        <f>AA147/F147</f>
        <v/>
      </c>
      <c r="AH147" s="73">
        <f>AB147/G147</f>
        <v/>
      </c>
      <c r="AI147" s="73">
        <f>AC147/H147</f>
        <v/>
      </c>
      <c r="AJ147" s="73">
        <f>X147/L147</f>
        <v/>
      </c>
      <c r="AK147" s="73">
        <f>Y147/M147</f>
        <v/>
      </c>
      <c r="AL147" s="73">
        <f>Z147/N147</f>
        <v/>
      </c>
      <c r="AM147" s="73">
        <f>AA147/L147</f>
        <v/>
      </c>
      <c r="AN147" s="73">
        <f>AB147/M147</f>
        <v/>
      </c>
      <c r="AO147" s="73">
        <f>AC147/N147</f>
        <v/>
      </c>
    </row>
    <row r="148">
      <c r="A148" s="56" t="n">
        <v>145</v>
      </c>
      <c r="B148" s="57" t="inlineStr">
        <is>
          <t>Virchow Keynes Sahabat</t>
        </is>
      </c>
      <c r="C148" s="57" t="inlineStr">
        <is>
          <t>keynessahabat@gmail.com</t>
        </is>
      </c>
      <c r="D148" s="57" t="inlineStr">
        <is>
          <t>PCL</t>
        </is>
      </c>
      <c r="E148" s="57" t="inlineStr">
        <is>
          <t>(050) TAMAKO</t>
        </is>
      </c>
      <c r="F148" s="58" t="n">
        <v>350</v>
      </c>
      <c r="G148" s="58" t="n">
        <v>36</v>
      </c>
      <c r="H148" s="59">
        <f>F148+G148</f>
        <v/>
      </c>
      <c r="I148" s="60" t="n">
        <v>26</v>
      </c>
      <c r="J148" s="60" t="n">
        <v>11</v>
      </c>
      <c r="K148" s="61">
        <f>I148+J148</f>
        <v/>
      </c>
      <c r="L148" s="62">
        <f>F148-I148</f>
        <v/>
      </c>
      <c r="M148" s="62">
        <f>G148-J148</f>
        <v/>
      </c>
      <c r="N148" s="63">
        <f>L148+M148</f>
        <v/>
      </c>
      <c r="O148" s="64" t="n">
        <v>26</v>
      </c>
      <c r="P148" s="64" t="n">
        <v>31</v>
      </c>
      <c r="Q148" s="65">
        <f>P148-O148</f>
        <v/>
      </c>
      <c r="R148" s="66" t="n">
        <v>11</v>
      </c>
      <c r="S148" s="66" t="n">
        <v>7</v>
      </c>
      <c r="T148" s="67">
        <f>S148-R148</f>
        <v/>
      </c>
      <c r="U148" s="68">
        <f>O148+R148</f>
        <v/>
      </c>
      <c r="V148" s="68">
        <f>P148+S148</f>
        <v/>
      </c>
      <c r="W148" s="68">
        <f>V148-U148</f>
        <v/>
      </c>
      <c r="X148" s="69" t="n">
        <v>284</v>
      </c>
      <c r="Y148" s="69" t="n">
        <v>24</v>
      </c>
      <c r="Z148" s="70">
        <f>X148+Y148</f>
        <v/>
      </c>
      <c r="AA148" s="71" t="n">
        <v>258</v>
      </c>
      <c r="AB148" s="71" t="n">
        <v>13</v>
      </c>
      <c r="AC148" s="72">
        <f>AA148+AB148</f>
        <v/>
      </c>
      <c r="AD148" s="73">
        <f>X148/F148</f>
        <v/>
      </c>
      <c r="AE148" s="73">
        <f>Y148/G148</f>
        <v/>
      </c>
      <c r="AF148" s="73">
        <f>Z148/H148</f>
        <v/>
      </c>
      <c r="AG148" s="73">
        <f>AA148/F148</f>
        <v/>
      </c>
      <c r="AH148" s="73">
        <f>AB148/G148</f>
        <v/>
      </c>
      <c r="AI148" s="73">
        <f>AC148/H148</f>
        <v/>
      </c>
      <c r="AJ148" s="73">
        <f>X148/L148</f>
        <v/>
      </c>
      <c r="AK148" s="73">
        <f>Y148/M148</f>
        <v/>
      </c>
      <c r="AL148" s="73">
        <f>Z148/N148</f>
        <v/>
      </c>
      <c r="AM148" s="73">
        <f>AA148/L148</f>
        <v/>
      </c>
      <c r="AN148" s="73">
        <f>AB148/M148</f>
        <v/>
      </c>
      <c r="AO148" s="73">
        <f>AC148/N148</f>
        <v/>
      </c>
    </row>
    <row r="149">
      <c r="A149" s="56" t="n">
        <v>146</v>
      </c>
      <c r="B149" s="57" t="inlineStr">
        <is>
          <t>Voni Fience Sarah Dien</t>
        </is>
      </c>
      <c r="C149" s="57" t="inlineStr">
        <is>
          <t>dienvoni@gmail.com</t>
        </is>
      </c>
      <c r="D149" s="57" t="inlineStr">
        <is>
          <t>PCL</t>
        </is>
      </c>
      <c r="E149" s="57" t="inlineStr">
        <is>
          <t>(110) KENDAHE</t>
        </is>
      </c>
      <c r="F149" s="58" t="n">
        <v>389</v>
      </c>
      <c r="G149" s="58" t="n">
        <v>54</v>
      </c>
      <c r="H149" s="59">
        <f>F149+G149</f>
        <v/>
      </c>
      <c r="I149" s="60" t="n">
        <v>65</v>
      </c>
      <c r="J149" s="60" t="n">
        <v>16</v>
      </c>
      <c r="K149" s="61">
        <f>I149+J149</f>
        <v/>
      </c>
      <c r="L149" s="62">
        <f>F149-I149</f>
        <v/>
      </c>
      <c r="M149" s="62">
        <f>G149-J149</f>
        <v/>
      </c>
      <c r="N149" s="63">
        <f>L149+M149</f>
        <v/>
      </c>
      <c r="O149" s="64" t="n">
        <v>65</v>
      </c>
      <c r="P149" s="64" t="n">
        <v>31</v>
      </c>
      <c r="Q149" s="65">
        <f>P149-O149</f>
        <v/>
      </c>
      <c r="R149" s="66" t="n">
        <v>16</v>
      </c>
      <c r="S149" s="66" t="n">
        <v>27</v>
      </c>
      <c r="T149" s="67">
        <f>S149-R149</f>
        <v/>
      </c>
      <c r="U149" s="68">
        <f>O149+R149</f>
        <v/>
      </c>
      <c r="V149" s="68">
        <f>P149+S149</f>
        <v/>
      </c>
      <c r="W149" s="68">
        <f>V149-U149</f>
        <v/>
      </c>
      <c r="X149" s="69" t="n">
        <v>255</v>
      </c>
      <c r="Y149" s="69" t="n">
        <v>61</v>
      </c>
      <c r="Z149" s="70">
        <f>X149+Y149</f>
        <v/>
      </c>
      <c r="AA149" s="71" t="n">
        <v>190</v>
      </c>
      <c r="AB149" s="71" t="n">
        <v>45</v>
      </c>
      <c r="AC149" s="72">
        <f>AA149+AB149</f>
        <v/>
      </c>
      <c r="AD149" s="73">
        <f>X149/F149</f>
        <v/>
      </c>
      <c r="AE149" s="73">
        <f>Y149/G149</f>
        <v/>
      </c>
      <c r="AF149" s="73">
        <f>Z149/H149</f>
        <v/>
      </c>
      <c r="AG149" s="73">
        <f>AA149/F149</f>
        <v/>
      </c>
      <c r="AH149" s="73">
        <f>AB149/G149</f>
        <v/>
      </c>
      <c r="AI149" s="73">
        <f>AC149/H149</f>
        <v/>
      </c>
      <c r="AJ149" s="73">
        <f>X149/L149</f>
        <v/>
      </c>
      <c r="AK149" s="73">
        <f>Y149/M149</f>
        <v/>
      </c>
      <c r="AL149" s="73">
        <f>Z149/N149</f>
        <v/>
      </c>
      <c r="AM149" s="73">
        <f>AA149/L149</f>
        <v/>
      </c>
      <c r="AN149" s="73">
        <f>AB149/M149</f>
        <v/>
      </c>
      <c r="AO149" s="73">
        <f>AC149/N149</f>
        <v/>
      </c>
    </row>
    <row r="150">
      <c r="A150" s="56" t="n">
        <v>147</v>
      </c>
      <c r="B150" s="57" t="inlineStr">
        <is>
          <t>Wahyudi Hapit</t>
        </is>
      </c>
      <c r="C150" s="57" t="inlineStr">
        <is>
          <t>hapitudhy@gmail.com</t>
        </is>
      </c>
      <c r="D150" s="57" t="inlineStr">
        <is>
          <t>PCL</t>
        </is>
      </c>
      <c r="E150" s="57" t="inlineStr">
        <is>
          <t>(091) TAHUNA TIMUR</t>
        </is>
      </c>
      <c r="F150" s="58" t="n">
        <v>377</v>
      </c>
      <c r="G150" s="58" t="n">
        <v>56</v>
      </c>
      <c r="H150" s="59">
        <f>F150+G150</f>
        <v/>
      </c>
      <c r="I150" s="60" t="n">
        <v>61</v>
      </c>
      <c r="J150" s="60" t="n">
        <v>12</v>
      </c>
      <c r="K150" s="61">
        <f>I150+J150</f>
        <v/>
      </c>
      <c r="L150" s="62">
        <f>F150-I150</f>
        <v/>
      </c>
      <c r="M150" s="62">
        <f>G150-J150</f>
        <v/>
      </c>
      <c r="N150" s="63">
        <f>L150+M150</f>
        <v/>
      </c>
      <c r="O150" s="64" t="n">
        <v>61</v>
      </c>
      <c r="P150" s="64" t="n">
        <v>23</v>
      </c>
      <c r="Q150" s="65">
        <f>P150-O150</f>
        <v/>
      </c>
      <c r="R150" s="66" t="n">
        <v>12</v>
      </c>
      <c r="S150" s="66" t="n">
        <v>4</v>
      </c>
      <c r="T150" s="67">
        <f>S150-R150</f>
        <v/>
      </c>
      <c r="U150" s="68">
        <f>O150+R150</f>
        <v/>
      </c>
      <c r="V150" s="68">
        <f>P150+S150</f>
        <v/>
      </c>
      <c r="W150" s="68">
        <f>V150-U150</f>
        <v/>
      </c>
      <c r="X150" s="69" t="n">
        <v>297</v>
      </c>
      <c r="Y150" s="69" t="n">
        <v>28</v>
      </c>
      <c r="Z150" s="70">
        <f>X150+Y150</f>
        <v/>
      </c>
      <c r="AA150" s="71" t="n">
        <v>236</v>
      </c>
      <c r="AB150" s="71" t="n">
        <v>16</v>
      </c>
      <c r="AC150" s="72">
        <f>AA150+AB150</f>
        <v/>
      </c>
      <c r="AD150" s="73">
        <f>X150/F150</f>
        <v/>
      </c>
      <c r="AE150" s="73">
        <f>Y150/G150</f>
        <v/>
      </c>
      <c r="AF150" s="73">
        <f>Z150/H150</f>
        <v/>
      </c>
      <c r="AG150" s="73">
        <f>AA150/F150</f>
        <v/>
      </c>
      <c r="AH150" s="73">
        <f>AB150/G150</f>
        <v/>
      </c>
      <c r="AI150" s="73">
        <f>AC150/H150</f>
        <v/>
      </c>
      <c r="AJ150" s="73">
        <f>X150/L150</f>
        <v/>
      </c>
      <c r="AK150" s="73">
        <f>Y150/M150</f>
        <v/>
      </c>
      <c r="AL150" s="73">
        <f>Z150/N150</f>
        <v/>
      </c>
      <c r="AM150" s="73">
        <f>AA150/L150</f>
        <v/>
      </c>
      <c r="AN150" s="73">
        <f>AB150/M150</f>
        <v/>
      </c>
      <c r="AO150" s="73">
        <f>AC150/N150</f>
        <v/>
      </c>
    </row>
    <row r="151">
      <c r="A151" s="56" t="n">
        <v>148</v>
      </c>
      <c r="B151" s="57" t="inlineStr">
        <is>
          <t>Winda Metia</t>
        </is>
      </c>
      <c r="C151" s="57" t="inlineStr">
        <is>
          <t>windametia67@gmail.com</t>
        </is>
      </c>
      <c r="D151" s="57" t="inlineStr">
        <is>
          <t>PCL</t>
        </is>
      </c>
      <c r="E151" s="57" t="inlineStr">
        <is>
          <t>(040) MANGANITU SELATAN</t>
        </is>
      </c>
      <c r="F151" s="58" t="n">
        <v>303</v>
      </c>
      <c r="G151" s="58" t="n">
        <v>15</v>
      </c>
      <c r="H151" s="59">
        <f>F151+G151</f>
        <v/>
      </c>
      <c r="I151" s="60" t="n">
        <v>48</v>
      </c>
      <c r="J151" s="60" t="n">
        <v>7</v>
      </c>
      <c r="K151" s="61">
        <f>I151+J151</f>
        <v/>
      </c>
      <c r="L151" s="62">
        <f>F151-I151</f>
        <v/>
      </c>
      <c r="M151" s="62">
        <f>G151-J151</f>
        <v/>
      </c>
      <c r="N151" s="63">
        <f>L151+M151</f>
        <v/>
      </c>
      <c r="O151" s="64" t="n">
        <v>48</v>
      </c>
      <c r="P151" s="64" t="n">
        <v>31</v>
      </c>
      <c r="Q151" s="65">
        <f>P151-O151</f>
        <v/>
      </c>
      <c r="R151" s="66" t="n">
        <v>7</v>
      </c>
      <c r="S151" s="66" t="n">
        <v>2</v>
      </c>
      <c r="T151" s="67">
        <f>S151-R151</f>
        <v/>
      </c>
      <c r="U151" s="68">
        <f>O151+R151</f>
        <v/>
      </c>
      <c r="V151" s="68">
        <f>P151+S151</f>
        <v/>
      </c>
      <c r="W151" s="68">
        <f>V151-U151</f>
        <v/>
      </c>
      <c r="X151" s="69" t="n">
        <v>253</v>
      </c>
      <c r="Y151" s="69" t="n">
        <v>14</v>
      </c>
      <c r="Z151" s="70">
        <f>X151+Y151</f>
        <v/>
      </c>
      <c r="AA151" s="71" t="n">
        <v>205</v>
      </c>
      <c r="AB151" s="71" t="n">
        <v>7</v>
      </c>
      <c r="AC151" s="72">
        <f>AA151+AB151</f>
        <v/>
      </c>
      <c r="AD151" s="73">
        <f>X151/F151</f>
        <v/>
      </c>
      <c r="AE151" s="73">
        <f>Y151/G151</f>
        <v/>
      </c>
      <c r="AF151" s="73">
        <f>Z151/H151</f>
        <v/>
      </c>
      <c r="AG151" s="73">
        <f>AA151/F151</f>
        <v/>
      </c>
      <c r="AH151" s="73">
        <f>AB151/G151</f>
        <v/>
      </c>
      <c r="AI151" s="73">
        <f>AC151/H151</f>
        <v/>
      </c>
      <c r="AJ151" s="73">
        <f>X151/L151</f>
        <v/>
      </c>
      <c r="AK151" s="73">
        <f>Y151/M151</f>
        <v/>
      </c>
      <c r="AL151" s="73">
        <f>Z151/N151</f>
        <v/>
      </c>
      <c r="AM151" s="73">
        <f>AA151/L151</f>
        <v/>
      </c>
      <c r="AN151" s="73">
        <f>AB151/M151</f>
        <v/>
      </c>
      <c r="AO151" s="73">
        <f>AC151/N151</f>
        <v/>
      </c>
    </row>
    <row r="152">
      <c r="A152" s="56" t="n">
        <v>149</v>
      </c>
      <c r="B152" s="57" t="inlineStr">
        <is>
          <t>Yan Fredrik Wellian Padang</t>
        </is>
      </c>
      <c r="C152" s="57" t="inlineStr">
        <is>
          <t>yanfwpadang84@gmail.com</t>
        </is>
      </c>
      <c r="D152" s="57" t="inlineStr">
        <is>
          <t>PML</t>
        </is>
      </c>
      <c r="E152" s="57" t="inlineStr">
        <is>
          <t>(090) TAHUNA</t>
        </is>
      </c>
      <c r="F152" s="58" t="n">
        <v>1952</v>
      </c>
      <c r="G152" s="58" t="n">
        <v>369</v>
      </c>
      <c r="H152" s="59">
        <f>F152+G152</f>
        <v/>
      </c>
      <c r="I152" s="60" t="n">
        <v>470</v>
      </c>
      <c r="J152" s="60" t="n">
        <v>119</v>
      </c>
      <c r="K152" s="61">
        <f>I152+J152</f>
        <v/>
      </c>
      <c r="L152" s="62">
        <f>F152-I152</f>
        <v/>
      </c>
      <c r="M152" s="62">
        <f>G152-J152</f>
        <v/>
      </c>
      <c r="N152" s="63">
        <f>L152+M152</f>
        <v/>
      </c>
      <c r="O152" s="64" t="n">
        <v>470</v>
      </c>
      <c r="P152" s="64" t="n">
        <v>207</v>
      </c>
      <c r="Q152" s="65">
        <f>P152-O152</f>
        <v/>
      </c>
      <c r="R152" s="66" t="n">
        <v>119</v>
      </c>
      <c r="S152" s="66" t="n">
        <v>57</v>
      </c>
      <c r="T152" s="67">
        <f>S152-R152</f>
        <v/>
      </c>
      <c r="U152" s="68">
        <f>O152+R152</f>
        <v/>
      </c>
      <c r="V152" s="68">
        <f>P152+S152</f>
        <v/>
      </c>
      <c r="W152" s="68">
        <f>V152-U152</f>
        <v/>
      </c>
      <c r="X152" s="69" t="n">
        <v>1284</v>
      </c>
      <c r="Y152" s="69" t="n">
        <v>221</v>
      </c>
      <c r="Z152" s="70">
        <f>X152+Y152</f>
        <v/>
      </c>
      <c r="AA152" s="71" t="n">
        <v>814</v>
      </c>
      <c r="AB152" s="71" t="n">
        <v>102</v>
      </c>
      <c r="AC152" s="72">
        <f>AA152+AB152</f>
        <v/>
      </c>
      <c r="AD152" s="73">
        <f>X152/F152</f>
        <v/>
      </c>
      <c r="AE152" s="73">
        <f>Y152/G152</f>
        <v/>
      </c>
      <c r="AF152" s="73">
        <f>Z152/H152</f>
        <v/>
      </c>
      <c r="AG152" s="73">
        <f>AA152/F152</f>
        <v/>
      </c>
      <c r="AH152" s="73">
        <f>AB152/G152</f>
        <v/>
      </c>
      <c r="AI152" s="73">
        <f>AC152/H152</f>
        <v/>
      </c>
      <c r="AJ152" s="73">
        <f>X152/L152</f>
        <v/>
      </c>
      <c r="AK152" s="73">
        <f>Y152/M152</f>
        <v/>
      </c>
      <c r="AL152" s="73">
        <f>Z152/N152</f>
        <v/>
      </c>
      <c r="AM152" s="73">
        <f>AA152/L152</f>
        <v/>
      </c>
      <c r="AN152" s="73">
        <f>AB152/M152</f>
        <v/>
      </c>
      <c r="AO152" s="73">
        <f>AC152/N152</f>
        <v/>
      </c>
    </row>
    <row r="153">
      <c r="A153" s="56" t="n">
        <v>150</v>
      </c>
      <c r="B153" s="57" t="inlineStr">
        <is>
          <t>Yesika Angelin Guwaunaung</t>
        </is>
      </c>
      <c r="C153" s="57" t="inlineStr">
        <is>
          <t>angelinguwaunaung@gmail.com</t>
        </is>
      </c>
      <c r="D153" s="57" t="inlineStr">
        <is>
          <t>PCL</t>
        </is>
      </c>
      <c r="E153" s="57" t="inlineStr">
        <is>
          <t>(080) MANGANITU</t>
        </is>
      </c>
      <c r="F153" s="58" t="n">
        <v>304</v>
      </c>
      <c r="G153" s="58" t="n">
        <v>28</v>
      </c>
      <c r="H153" s="59">
        <f>F153+G153</f>
        <v/>
      </c>
      <c r="I153" s="60" t="n">
        <v>29</v>
      </c>
      <c r="J153" s="60" t="n">
        <v>5</v>
      </c>
      <c r="K153" s="61">
        <f>I153+J153</f>
        <v/>
      </c>
      <c r="L153" s="62">
        <f>F153-I153</f>
        <v/>
      </c>
      <c r="M153" s="62">
        <f>G153-J153</f>
        <v/>
      </c>
      <c r="N153" s="63">
        <f>L153+M153</f>
        <v/>
      </c>
      <c r="O153" s="64" t="n">
        <v>29</v>
      </c>
      <c r="P153" s="64" t="n">
        <v>63</v>
      </c>
      <c r="Q153" s="65">
        <f>P153-O153</f>
        <v/>
      </c>
      <c r="R153" s="66" t="n">
        <v>5</v>
      </c>
      <c r="S153" s="66" t="n">
        <v>4</v>
      </c>
      <c r="T153" s="67">
        <f>S153-R153</f>
        <v/>
      </c>
      <c r="U153" s="68">
        <f>O153+R153</f>
        <v/>
      </c>
      <c r="V153" s="68">
        <f>P153+S153</f>
        <v/>
      </c>
      <c r="W153" s="68">
        <f>V153-U153</f>
        <v/>
      </c>
      <c r="X153" s="69" t="n">
        <v>176</v>
      </c>
      <c r="Y153" s="69" t="n">
        <v>17</v>
      </c>
      <c r="Z153" s="70">
        <f>X153+Y153</f>
        <v/>
      </c>
      <c r="AA153" s="71" t="n">
        <v>147</v>
      </c>
      <c r="AB153" s="71" t="n">
        <v>12</v>
      </c>
      <c r="AC153" s="72">
        <f>AA153+AB153</f>
        <v/>
      </c>
      <c r="AD153" s="73">
        <f>X153/F153</f>
        <v/>
      </c>
      <c r="AE153" s="73">
        <f>Y153/G153</f>
        <v/>
      </c>
      <c r="AF153" s="73">
        <f>Z153/H153</f>
        <v/>
      </c>
      <c r="AG153" s="73">
        <f>AA153/F153</f>
        <v/>
      </c>
      <c r="AH153" s="73">
        <f>AB153/G153</f>
        <v/>
      </c>
      <c r="AI153" s="73">
        <f>AC153/H153</f>
        <v/>
      </c>
      <c r="AJ153" s="73">
        <f>X153/L153</f>
        <v/>
      </c>
      <c r="AK153" s="73">
        <f>Y153/M153</f>
        <v/>
      </c>
      <c r="AL153" s="73">
        <f>Z153/N153</f>
        <v/>
      </c>
      <c r="AM153" s="73">
        <f>AA153/L153</f>
        <v/>
      </c>
      <c r="AN153" s="73">
        <f>AB153/M153</f>
        <v/>
      </c>
      <c r="AO153" s="73">
        <f>AC153/N153</f>
        <v/>
      </c>
    </row>
    <row r="154">
      <c r="A154" s="56" t="n">
        <v>151</v>
      </c>
      <c r="B154" s="57" t="inlineStr">
        <is>
          <t>Yohana Sapar</t>
        </is>
      </c>
      <c r="C154" s="57" t="inlineStr">
        <is>
          <t>saparyohana@gmail.com</t>
        </is>
      </c>
      <c r="D154" s="57" t="inlineStr">
        <is>
          <t>PML</t>
        </is>
      </c>
      <c r="E154" s="57" t="inlineStr">
        <is>
          <t>(100) TABUKAN UTARA</t>
        </is>
      </c>
      <c r="F154" s="58" t="n">
        <v>1888</v>
      </c>
      <c r="G154" s="58" t="n">
        <v>216</v>
      </c>
      <c r="H154" s="59">
        <f>F154+G154</f>
        <v/>
      </c>
      <c r="I154" s="60" t="n">
        <v>321</v>
      </c>
      <c r="J154" s="60" t="n">
        <v>141</v>
      </c>
      <c r="K154" s="61">
        <f>I154+J154</f>
        <v/>
      </c>
      <c r="L154" s="62">
        <f>F154-I154</f>
        <v/>
      </c>
      <c r="M154" s="62">
        <f>G154-J154</f>
        <v/>
      </c>
      <c r="N154" s="63">
        <f>L154+M154</f>
        <v/>
      </c>
      <c r="O154" s="64" t="n">
        <v>321</v>
      </c>
      <c r="P154" s="64" t="n">
        <v>344</v>
      </c>
      <c r="Q154" s="65">
        <f>P154-O154</f>
        <v/>
      </c>
      <c r="R154" s="66" t="n">
        <v>141</v>
      </c>
      <c r="S154" s="66" t="n">
        <v>93</v>
      </c>
      <c r="T154" s="67">
        <f>S154-R154</f>
        <v/>
      </c>
      <c r="U154" s="68">
        <f>O154+R154</f>
        <v/>
      </c>
      <c r="V154" s="68">
        <f>P154+S154</f>
        <v/>
      </c>
      <c r="W154" s="68">
        <f>V154-U154</f>
        <v/>
      </c>
      <c r="X154" s="69" t="n">
        <v>1802</v>
      </c>
      <c r="Y154" s="69" t="n">
        <v>288</v>
      </c>
      <c r="Z154" s="70">
        <f>X154+Y154</f>
        <v/>
      </c>
      <c r="AA154" s="71" t="n">
        <v>1481</v>
      </c>
      <c r="AB154" s="71" t="n">
        <v>147</v>
      </c>
      <c r="AC154" s="72">
        <f>AA154+AB154</f>
        <v/>
      </c>
      <c r="AD154" s="73">
        <f>X154/F154</f>
        <v/>
      </c>
      <c r="AE154" s="73">
        <f>Y154/G154</f>
        <v/>
      </c>
      <c r="AF154" s="73">
        <f>Z154/H154</f>
        <v/>
      </c>
      <c r="AG154" s="73">
        <f>AA154/F154</f>
        <v/>
      </c>
      <c r="AH154" s="73">
        <f>AB154/G154</f>
        <v/>
      </c>
      <c r="AI154" s="73">
        <f>AC154/H154</f>
        <v/>
      </c>
      <c r="AJ154" s="73">
        <f>X154/L154</f>
        <v/>
      </c>
      <c r="AK154" s="73">
        <f>Y154/M154</f>
        <v/>
      </c>
      <c r="AL154" s="73">
        <f>Z154/N154</f>
        <v/>
      </c>
      <c r="AM154" s="73">
        <f>AA154/L154</f>
        <v/>
      </c>
      <c r="AN154" s="73">
        <f>AB154/M154</f>
        <v/>
      </c>
      <c r="AO154" s="73">
        <f>AC154/N154</f>
        <v/>
      </c>
    </row>
    <row r="155">
      <c r="A155" s="56" t="n">
        <v>152</v>
      </c>
      <c r="B155" s="57" t="inlineStr">
        <is>
          <t>Yosias Budiman Monok</t>
        </is>
      </c>
      <c r="C155" s="57" t="inlineStr">
        <is>
          <t>josias.monok@gmail.com</t>
        </is>
      </c>
      <c r="D155" s="57" t="inlineStr">
        <is>
          <t>PCL</t>
        </is>
      </c>
      <c r="E155" s="57" t="inlineStr">
        <is>
          <t>(080) MANGANITU</t>
        </is>
      </c>
      <c r="F155" s="58" t="n">
        <v>349</v>
      </c>
      <c r="G155" s="58" t="n">
        <v>20</v>
      </c>
      <c r="H155" s="59">
        <f>F155+G155</f>
        <v/>
      </c>
      <c r="I155" s="60" t="n">
        <v>26</v>
      </c>
      <c r="J155" s="60" t="n">
        <v>7</v>
      </c>
      <c r="K155" s="61">
        <f>I155+J155</f>
        <v/>
      </c>
      <c r="L155" s="62">
        <f>F155-I155</f>
        <v/>
      </c>
      <c r="M155" s="62">
        <f>G155-J155</f>
        <v/>
      </c>
      <c r="N155" s="63">
        <f>L155+M155</f>
        <v/>
      </c>
      <c r="O155" s="64" t="n">
        <v>26</v>
      </c>
      <c r="P155" s="64" t="n">
        <v>48</v>
      </c>
      <c r="Q155" s="65">
        <f>P155-O155</f>
        <v/>
      </c>
      <c r="R155" s="66" t="n">
        <v>7</v>
      </c>
      <c r="S155" s="66" t="n">
        <v>4</v>
      </c>
      <c r="T155" s="67">
        <f>S155-R155</f>
        <v/>
      </c>
      <c r="U155" s="68">
        <f>O155+R155</f>
        <v/>
      </c>
      <c r="V155" s="68">
        <f>P155+S155</f>
        <v/>
      </c>
      <c r="W155" s="68">
        <f>V155-U155</f>
        <v/>
      </c>
      <c r="X155" s="69" t="n">
        <v>201</v>
      </c>
      <c r="Y155" s="69" t="n">
        <v>16</v>
      </c>
      <c r="Z155" s="70">
        <f>X155+Y155</f>
        <v/>
      </c>
      <c r="AA155" s="71" t="n">
        <v>175</v>
      </c>
      <c r="AB155" s="71" t="n">
        <v>9</v>
      </c>
      <c r="AC155" s="72">
        <f>AA155+AB155</f>
        <v/>
      </c>
      <c r="AD155" s="73">
        <f>X155/F155</f>
        <v/>
      </c>
      <c r="AE155" s="73">
        <f>Y155/G155</f>
        <v/>
      </c>
      <c r="AF155" s="73">
        <f>Z155/H155</f>
        <v/>
      </c>
      <c r="AG155" s="73">
        <f>AA155/F155</f>
        <v/>
      </c>
      <c r="AH155" s="73">
        <f>AB155/G155</f>
        <v/>
      </c>
      <c r="AI155" s="73">
        <f>AC155/H155</f>
        <v/>
      </c>
      <c r="AJ155" s="73">
        <f>X155/L155</f>
        <v/>
      </c>
      <c r="AK155" s="73">
        <f>Y155/M155</f>
        <v/>
      </c>
      <c r="AL155" s="73">
        <f>Z155/N155</f>
        <v/>
      </c>
      <c r="AM155" s="73">
        <f>AA155/L155</f>
        <v/>
      </c>
      <c r="AN155" s="73">
        <f>AB155/M155</f>
        <v/>
      </c>
      <c r="AO155" s="73">
        <f>AC155/N155</f>
        <v/>
      </c>
    </row>
    <row r="156">
      <c r="A156" s="56" t="n">
        <v>153</v>
      </c>
      <c r="B156" s="57" t="inlineStr">
        <is>
          <t>Yosua Bawembang</t>
        </is>
      </c>
      <c r="C156" s="57" t="inlineStr">
        <is>
          <t>ybawembang@gmail.com</t>
        </is>
      </c>
      <c r="D156" s="57" t="inlineStr">
        <is>
          <t>PCL</t>
        </is>
      </c>
      <c r="E156" s="57" t="inlineStr">
        <is>
          <t>(040) MANGANITU SELATAN</t>
        </is>
      </c>
      <c r="F156" s="58" t="n">
        <v>283</v>
      </c>
      <c r="G156" s="58" t="n">
        <v>108</v>
      </c>
      <c r="H156" s="59">
        <f>F156+G156</f>
        <v/>
      </c>
      <c r="I156" s="60" t="n">
        <v>45</v>
      </c>
      <c r="J156" s="60" t="n">
        <v>19</v>
      </c>
      <c r="K156" s="61">
        <f>I156+J156</f>
        <v/>
      </c>
      <c r="L156" s="62">
        <f>F156-I156</f>
        <v/>
      </c>
      <c r="M156" s="62">
        <f>G156-J156</f>
        <v/>
      </c>
      <c r="N156" s="63">
        <f>L156+M156</f>
        <v/>
      </c>
      <c r="O156" s="64" t="n">
        <v>45</v>
      </c>
      <c r="P156" s="64" t="n">
        <v>16</v>
      </c>
      <c r="Q156" s="65">
        <f>P156-O156</f>
        <v/>
      </c>
      <c r="R156" s="66" t="n">
        <v>19</v>
      </c>
      <c r="S156" s="66" t="n">
        <v>14</v>
      </c>
      <c r="T156" s="67">
        <f>S156-R156</f>
        <v/>
      </c>
      <c r="U156" s="68">
        <f>O156+R156</f>
        <v/>
      </c>
      <c r="V156" s="68">
        <f>P156+S156</f>
        <v/>
      </c>
      <c r="W156" s="68">
        <f>V156-U156</f>
        <v/>
      </c>
      <c r="X156" s="69" t="n">
        <v>241</v>
      </c>
      <c r="Y156" s="69" t="n">
        <v>65</v>
      </c>
      <c r="Z156" s="70">
        <f>X156+Y156</f>
        <v/>
      </c>
      <c r="AA156" s="71" t="n">
        <v>196</v>
      </c>
      <c r="AB156" s="71" t="n">
        <v>46</v>
      </c>
      <c r="AC156" s="72">
        <f>AA156+AB156</f>
        <v/>
      </c>
      <c r="AD156" s="73">
        <f>X156/F156</f>
        <v/>
      </c>
      <c r="AE156" s="73">
        <f>Y156/G156</f>
        <v/>
      </c>
      <c r="AF156" s="73">
        <f>Z156/H156</f>
        <v/>
      </c>
      <c r="AG156" s="73">
        <f>AA156/F156</f>
        <v/>
      </c>
      <c r="AH156" s="73">
        <f>AB156/G156</f>
        <v/>
      </c>
      <c r="AI156" s="73">
        <f>AC156/H156</f>
        <v/>
      </c>
      <c r="AJ156" s="73">
        <f>X156/L156</f>
        <v/>
      </c>
      <c r="AK156" s="73">
        <f>Y156/M156</f>
        <v/>
      </c>
      <c r="AL156" s="73">
        <f>Z156/N156</f>
        <v/>
      </c>
      <c r="AM156" s="73">
        <f>AA156/L156</f>
        <v/>
      </c>
      <c r="AN156" s="73">
        <f>AB156/M156</f>
        <v/>
      </c>
      <c r="AO156" s="73">
        <f>AC156/N156</f>
        <v/>
      </c>
    </row>
    <row r="157">
      <c r="A157" s="56" t="n">
        <v>154</v>
      </c>
      <c r="B157" s="57" t="inlineStr">
        <is>
          <t>Yudhistira Prasetya Tangkabiringan</t>
        </is>
      </c>
      <c r="C157" s="57" t="inlineStr">
        <is>
          <t>yudhistiratangkabiringan@gmail.com</t>
        </is>
      </c>
      <c r="D157" s="57" t="inlineStr">
        <is>
          <t>PCL</t>
        </is>
      </c>
      <c r="E157" s="57" t="inlineStr">
        <is>
          <t>(090) TAHUNA</t>
        </is>
      </c>
      <c r="F157" s="58" t="n">
        <v>359</v>
      </c>
      <c r="G157" s="58" t="n">
        <v>22</v>
      </c>
      <c r="H157" s="59">
        <f>F157+G157</f>
        <v/>
      </c>
      <c r="I157" s="60" t="n">
        <v>31</v>
      </c>
      <c r="J157" s="60" t="n">
        <v>9</v>
      </c>
      <c r="K157" s="61">
        <f>I157+J157</f>
        <v/>
      </c>
      <c r="L157" s="62">
        <f>F157-I157</f>
        <v/>
      </c>
      <c r="M157" s="62">
        <f>G157-J157</f>
        <v/>
      </c>
      <c r="N157" s="63">
        <f>L157+M157</f>
        <v/>
      </c>
      <c r="O157" s="64" t="n">
        <v>31</v>
      </c>
      <c r="P157" s="64" t="n">
        <v>9</v>
      </c>
      <c r="Q157" s="65">
        <f>P157-O157</f>
        <v/>
      </c>
      <c r="R157" s="66" t="n">
        <v>9</v>
      </c>
      <c r="S157" s="66" t="n">
        <v>4</v>
      </c>
      <c r="T157" s="67">
        <f>S157-R157</f>
        <v/>
      </c>
      <c r="U157" s="68">
        <f>O157+R157</f>
        <v/>
      </c>
      <c r="V157" s="68">
        <f>P157+S157</f>
        <v/>
      </c>
      <c r="W157" s="68">
        <f>V157-U157</f>
        <v/>
      </c>
      <c r="X157" s="69" t="n">
        <v>229</v>
      </c>
      <c r="Y157" s="69" t="n">
        <v>18</v>
      </c>
      <c r="Z157" s="70">
        <f>X157+Y157</f>
        <v/>
      </c>
      <c r="AA157" s="71" t="n">
        <v>198</v>
      </c>
      <c r="AB157" s="71" t="n">
        <v>9</v>
      </c>
      <c r="AC157" s="72">
        <f>AA157+AB157</f>
        <v/>
      </c>
      <c r="AD157" s="73">
        <f>X157/F157</f>
        <v/>
      </c>
      <c r="AE157" s="73">
        <f>Y157/G157</f>
        <v/>
      </c>
      <c r="AF157" s="73">
        <f>Z157/H157</f>
        <v/>
      </c>
      <c r="AG157" s="73">
        <f>AA157/F157</f>
        <v/>
      </c>
      <c r="AH157" s="73">
        <f>AB157/G157</f>
        <v/>
      </c>
      <c r="AI157" s="73">
        <f>AC157/H157</f>
        <v/>
      </c>
      <c r="AJ157" s="73">
        <f>X157/L157</f>
        <v/>
      </c>
      <c r="AK157" s="73">
        <f>Y157/M157</f>
        <v/>
      </c>
      <c r="AL157" s="73">
        <f>Z157/N157</f>
        <v/>
      </c>
      <c r="AM157" s="73">
        <f>AA157/L157</f>
        <v/>
      </c>
      <c r="AN157" s="73">
        <f>AB157/M157</f>
        <v/>
      </c>
      <c r="AO157" s="73">
        <f>AC157/N157</f>
        <v/>
      </c>
    </row>
    <row r="158">
      <c r="A158" s="56" t="n">
        <v>155</v>
      </c>
      <c r="B158" s="57" t="inlineStr">
        <is>
          <t>Yulianti Manambe</t>
        </is>
      </c>
      <c r="C158" s="57" t="inlineStr">
        <is>
          <t>anthymanambe8@gmail.com</t>
        </is>
      </c>
      <c r="D158" s="57" t="inlineStr">
        <is>
          <t>PML</t>
        </is>
      </c>
      <c r="E158" s="57" t="inlineStr">
        <is>
          <t>(092) TAHUNA BARAT</t>
        </is>
      </c>
      <c r="F158" s="58" t="n">
        <v>2040</v>
      </c>
      <c r="G158" s="58" t="n">
        <v>169</v>
      </c>
      <c r="H158" s="59">
        <f>F158+G158</f>
        <v/>
      </c>
      <c r="I158" s="60" t="n">
        <v>233</v>
      </c>
      <c r="J158" s="60" t="n">
        <v>56</v>
      </c>
      <c r="K158" s="61">
        <f>I158+J158</f>
        <v/>
      </c>
      <c r="L158" s="62">
        <f>F158-I158</f>
        <v/>
      </c>
      <c r="M158" s="62">
        <f>G158-J158</f>
        <v/>
      </c>
      <c r="N158" s="63">
        <f>L158+M158</f>
        <v/>
      </c>
      <c r="O158" s="64" t="n">
        <v>233</v>
      </c>
      <c r="P158" s="64" t="n">
        <v>107</v>
      </c>
      <c r="Q158" s="65">
        <f>P158-O158</f>
        <v/>
      </c>
      <c r="R158" s="66" t="n">
        <v>56</v>
      </c>
      <c r="S158" s="66" t="n">
        <v>11</v>
      </c>
      <c r="T158" s="67">
        <f>S158-R158</f>
        <v/>
      </c>
      <c r="U158" s="68">
        <f>O158+R158</f>
        <v/>
      </c>
      <c r="V158" s="68">
        <f>P158+S158</f>
        <v/>
      </c>
      <c r="W158" s="68">
        <f>V158-U158</f>
        <v/>
      </c>
      <c r="X158" s="69" t="n">
        <v>1366</v>
      </c>
      <c r="Y158" s="69" t="n">
        <v>104</v>
      </c>
      <c r="Z158" s="70">
        <f>X158+Y158</f>
        <v/>
      </c>
      <c r="AA158" s="71" t="n">
        <v>1133</v>
      </c>
      <c r="AB158" s="71" t="n">
        <v>48</v>
      </c>
      <c r="AC158" s="72">
        <f>AA158+AB158</f>
        <v/>
      </c>
      <c r="AD158" s="73">
        <f>X158/F158</f>
        <v/>
      </c>
      <c r="AE158" s="73">
        <f>Y158/G158</f>
        <v/>
      </c>
      <c r="AF158" s="73">
        <f>Z158/H158</f>
        <v/>
      </c>
      <c r="AG158" s="73">
        <f>AA158/F158</f>
        <v/>
      </c>
      <c r="AH158" s="73">
        <f>AB158/G158</f>
        <v/>
      </c>
      <c r="AI158" s="73">
        <f>AC158/H158</f>
        <v/>
      </c>
      <c r="AJ158" s="73">
        <f>X158/L158</f>
        <v/>
      </c>
      <c r="AK158" s="73">
        <f>Y158/M158</f>
        <v/>
      </c>
      <c r="AL158" s="73">
        <f>Z158/N158</f>
        <v/>
      </c>
      <c r="AM158" s="73">
        <f>AA158/L158</f>
        <v/>
      </c>
      <c r="AN158" s="73">
        <f>AB158/M158</f>
        <v/>
      </c>
      <c r="AO158" s="73">
        <f>AC158/N158</f>
        <v/>
      </c>
    </row>
    <row r="159">
      <c r="A159" s="56" t="n">
        <v>156</v>
      </c>
      <c r="B159" s="57" t="inlineStr">
        <is>
          <t>Yustin Durian</t>
        </is>
      </c>
      <c r="C159" s="57" t="inlineStr">
        <is>
          <t>yustindurian@gmail.com</t>
        </is>
      </c>
      <c r="D159" s="57" t="inlineStr">
        <is>
          <t>PCL</t>
        </is>
      </c>
      <c r="E159" s="57" t="inlineStr">
        <is>
          <t>(070) TABUKAN TENGAH</t>
        </is>
      </c>
      <c r="F159" s="58" t="n">
        <v>316</v>
      </c>
      <c r="G159" s="58" t="n">
        <v>24</v>
      </c>
      <c r="H159" s="59">
        <f>F159+G159</f>
        <v/>
      </c>
      <c r="I159" s="60" t="n">
        <v>45</v>
      </c>
      <c r="J159" s="60" t="n">
        <v>8</v>
      </c>
      <c r="K159" s="61">
        <f>I159+J159</f>
        <v/>
      </c>
      <c r="L159" s="62">
        <f>F159-I159</f>
        <v/>
      </c>
      <c r="M159" s="62">
        <f>G159-J159</f>
        <v/>
      </c>
      <c r="N159" s="63">
        <f>L159+M159</f>
        <v/>
      </c>
      <c r="O159" s="64" t="n">
        <v>45</v>
      </c>
      <c r="P159" s="64" t="n">
        <v>39</v>
      </c>
      <c r="Q159" s="65">
        <f>P159-O159</f>
        <v/>
      </c>
      <c r="R159" s="66" t="n">
        <v>8</v>
      </c>
      <c r="S159" s="66" t="n">
        <v>12</v>
      </c>
      <c r="T159" s="67">
        <f>S159-R159</f>
        <v/>
      </c>
      <c r="U159" s="68">
        <f>O159+R159</f>
        <v/>
      </c>
      <c r="V159" s="68">
        <f>P159+S159</f>
        <v/>
      </c>
      <c r="W159" s="68">
        <f>V159-U159</f>
        <v/>
      </c>
      <c r="X159" s="69" t="n">
        <v>207</v>
      </c>
      <c r="Y159" s="69" t="n">
        <v>25</v>
      </c>
      <c r="Z159" s="70">
        <f>X159+Y159</f>
        <v/>
      </c>
      <c r="AA159" s="71" t="n">
        <v>162</v>
      </c>
      <c r="AB159" s="71" t="n">
        <v>17</v>
      </c>
      <c r="AC159" s="72">
        <f>AA159+AB159</f>
        <v/>
      </c>
      <c r="AD159" s="73">
        <f>X159/F159</f>
        <v/>
      </c>
      <c r="AE159" s="73">
        <f>Y159/G159</f>
        <v/>
      </c>
      <c r="AF159" s="73">
        <f>Z159/H159</f>
        <v/>
      </c>
      <c r="AG159" s="73">
        <f>AA159/F159</f>
        <v/>
      </c>
      <c r="AH159" s="73">
        <f>AB159/G159</f>
        <v/>
      </c>
      <c r="AI159" s="73">
        <f>AC159/H159</f>
        <v/>
      </c>
      <c r="AJ159" s="73">
        <f>X159/L159</f>
        <v/>
      </c>
      <c r="AK159" s="73">
        <f>Y159/M159</f>
        <v/>
      </c>
      <c r="AL159" s="73">
        <f>Z159/N159</f>
        <v/>
      </c>
      <c r="AM159" s="73">
        <f>AA159/L159</f>
        <v/>
      </c>
      <c r="AN159" s="73">
        <f>AB159/M159</f>
        <v/>
      </c>
      <c r="AO159" s="73">
        <f>AC159/N159</f>
        <v/>
      </c>
    </row>
  </sheetData>
  <mergeCells count="17">
    <mergeCell ref="U2:W2"/>
    <mergeCell ref="X1:AC1"/>
    <mergeCell ref="AG2:AI2"/>
    <mergeCell ref="X2:Z2"/>
    <mergeCell ref="AJ2:AL2"/>
    <mergeCell ref="I2:K2"/>
    <mergeCell ref="AD1:AI1"/>
    <mergeCell ref="AA2:AC2"/>
    <mergeCell ref="R2:T2"/>
    <mergeCell ref="AD2:AF2"/>
    <mergeCell ref="AJ1:AO1"/>
    <mergeCell ref="O1:W1"/>
    <mergeCell ref="F2:H2"/>
    <mergeCell ref="F1:N1"/>
    <mergeCell ref="L2:N2"/>
    <mergeCell ref="O2:Q2"/>
    <mergeCell ref="AM2:AO2"/>
  </mergeCells>
  <conditionalFormatting sqref="AF4:AF156 AI4:AI156 AL4:AL156 AO4:AO156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35"/>
  <sheetViews>
    <sheetView topLeftCell="A32" workbookViewId="0">
      <selection activeCell="AE145" sqref="AE145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width="7.36328125" bestFit="1" customWidth="1" min="4" max="4"/>
    <col width="60.36328125" bestFit="1" customWidth="1" min="5" max="5"/>
    <col hidden="1" width="8.7265625" customWidth="1" min="6" max="14"/>
    <col hidden="1"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 hidden="1">
      <c r="A4" s="56" t="n">
        <v>1</v>
      </c>
      <c r="B4" s="57" t="inlineStr">
        <is>
          <t>Syamsia Makaminan</t>
        </is>
      </c>
      <c r="C4" s="57" t="inlineStr">
        <is>
          <t>makaminansia79@gmail.com</t>
        </is>
      </c>
      <c r="D4" s="57" t="inlineStr">
        <is>
          <t>PCL</t>
        </is>
      </c>
      <c r="E4" s="57" t="inlineStr">
        <is>
          <t>(100) TABUKAN UTARA</t>
        </is>
      </c>
      <c r="F4" s="58" t="n">
        <v>258</v>
      </c>
      <c r="G4" s="58" t="n">
        <v>74</v>
      </c>
      <c r="H4" s="59">
        <f>F4+G4</f>
        <v/>
      </c>
      <c r="I4" s="60" t="n">
        <v>36</v>
      </c>
      <c r="J4" s="60" t="n">
        <v>48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36</v>
      </c>
      <c r="P4" s="64" t="n">
        <v>80</v>
      </c>
      <c r="Q4" s="65">
        <f>P4-O4</f>
        <v/>
      </c>
      <c r="R4" s="66" t="n">
        <v>48</v>
      </c>
      <c r="S4" s="66" t="n">
        <v>64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258</v>
      </c>
      <c r="Y4" s="69" t="n">
        <v>137</v>
      </c>
      <c r="Z4" s="70">
        <f>X4+Y4</f>
        <v/>
      </c>
      <c r="AA4" s="71" t="n">
        <v>222</v>
      </c>
      <c r="AB4" s="71" t="n">
        <v>89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Sandy Anggriawan Makangiras</t>
        </is>
      </c>
      <c r="C5" s="57" t="inlineStr">
        <is>
          <t>anggriawanndyras@gmail.com</t>
        </is>
      </c>
      <c r="D5" s="57" t="inlineStr">
        <is>
          <t>PCL</t>
        </is>
      </c>
      <c r="E5" s="57" t="inlineStr">
        <is>
          <t>(100) TABUKAN UTARA</t>
        </is>
      </c>
      <c r="F5" s="58" t="n">
        <v>154</v>
      </c>
      <c r="G5" s="58" t="n">
        <v>136</v>
      </c>
      <c r="H5" s="59">
        <f>F5+G5</f>
        <v/>
      </c>
      <c r="I5" s="60" t="n">
        <v>19</v>
      </c>
      <c r="J5" s="60" t="n">
        <v>57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19</v>
      </c>
      <c r="P5" s="64" t="n">
        <v>20</v>
      </c>
      <c r="Q5" s="65">
        <f>P5-O5</f>
        <v/>
      </c>
      <c r="R5" s="66" t="n">
        <v>57</v>
      </c>
      <c r="S5" s="66" t="n">
        <v>92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143</v>
      </c>
      <c r="Y5" s="69" t="n">
        <v>201</v>
      </c>
      <c r="Z5" s="70">
        <f>X5+Y5</f>
        <v/>
      </c>
      <c r="AA5" s="71" t="n">
        <v>124</v>
      </c>
      <c r="AB5" s="71" t="n">
        <v>144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Sheryl Jessica Tatontos</t>
        </is>
      </c>
      <c r="C6" s="57" t="inlineStr">
        <is>
          <t>sheryljessica01@gmail.com</t>
        </is>
      </c>
      <c r="D6" s="57" t="inlineStr">
        <is>
          <t>PCL</t>
        </is>
      </c>
      <c r="E6" s="57" t="inlineStr">
        <is>
          <t>(050) TAMAKO</t>
        </is>
      </c>
      <c r="F6" s="58" t="n">
        <v>206</v>
      </c>
      <c r="G6" s="58" t="n">
        <v>160</v>
      </c>
      <c r="H6" s="59">
        <f>F6+G6</f>
        <v/>
      </c>
      <c r="I6" s="60" t="n">
        <v>20</v>
      </c>
      <c r="J6" s="60" t="n">
        <v>43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20</v>
      </c>
      <c r="P6" s="64" t="n">
        <v>33</v>
      </c>
      <c r="Q6" s="65">
        <f>P6-O6</f>
        <v/>
      </c>
      <c r="R6" s="66" t="n">
        <v>43</v>
      </c>
      <c r="S6" s="66" t="n">
        <v>91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187</v>
      </c>
      <c r="Y6" s="69" t="n">
        <v>186</v>
      </c>
      <c r="Z6" s="70">
        <f>X6+Y6</f>
        <v/>
      </c>
      <c r="AA6" s="71" t="n">
        <v>167</v>
      </c>
      <c r="AB6" s="71" t="n">
        <v>143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/>
      <c r="C7" s="57" t="inlineStr">
        <is>
          <t>chikaaalombontari@gmail.com</t>
        </is>
      </c>
      <c r="D7" s="57" t="inlineStr">
        <is>
          <t>PCL</t>
        </is>
      </c>
      <c r="E7" s="57" t="inlineStr">
        <is>
          <t>(091) TAHUNA TIMUR</t>
        </is>
      </c>
      <c r="F7" s="58" t="n">
        <v>59</v>
      </c>
      <c r="G7" s="58" t="n">
        <v>2</v>
      </c>
      <c r="H7" s="59">
        <f>F7+G7</f>
        <v/>
      </c>
      <c r="I7" s="60" t="n">
        <v>12</v>
      </c>
      <c r="J7" s="60" t="n">
        <v>2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12</v>
      </c>
      <c r="P7" s="64" t="n">
        <v>3</v>
      </c>
      <c r="Q7" s="65">
        <f>P7-O7</f>
        <v/>
      </c>
      <c r="R7" s="66" t="n">
        <v>2</v>
      </c>
      <c r="S7" s="66" t="n">
        <v>1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59</v>
      </c>
      <c r="Y7" s="69" t="n">
        <v>3</v>
      </c>
      <c r="Z7" s="70">
        <f>X7+Y7</f>
        <v/>
      </c>
      <c r="AA7" s="71" t="n">
        <v>47</v>
      </c>
      <c r="AB7" s="71" t="n">
        <v>1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Siti Maryam Madonsa</t>
        </is>
      </c>
      <c r="C8" s="57" t="inlineStr">
        <is>
          <t>sitimadonsa5@gmail.com</t>
        </is>
      </c>
      <c r="D8" s="57" t="inlineStr">
        <is>
          <t>PCL</t>
        </is>
      </c>
      <c r="E8" s="57" t="inlineStr">
        <is>
          <t>(100) TABUKAN UTARA</t>
        </is>
      </c>
      <c r="F8" s="58" t="n">
        <v>356</v>
      </c>
      <c r="G8" s="58" t="n">
        <v>29</v>
      </c>
      <c r="H8" s="59">
        <f>F8+G8</f>
        <v/>
      </c>
      <c r="I8" s="60" t="n">
        <v>56</v>
      </c>
      <c r="J8" s="60" t="n">
        <v>14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56</v>
      </c>
      <c r="P8" s="64" t="n">
        <v>66</v>
      </c>
      <c r="Q8" s="65">
        <f>P8-O8</f>
        <v/>
      </c>
      <c r="R8" s="66" t="n">
        <v>14</v>
      </c>
      <c r="S8" s="66" t="n">
        <v>9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356</v>
      </c>
      <c r="Y8" s="69" t="n">
        <v>35</v>
      </c>
      <c r="Z8" s="70">
        <f>X8+Y8</f>
        <v/>
      </c>
      <c r="AA8" s="71" t="n">
        <v>300</v>
      </c>
      <c r="AB8" s="71" t="n">
        <v>21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Regina Mahoro</t>
        </is>
      </c>
      <c r="C9" s="57" t="inlineStr">
        <is>
          <t>reginamahoro0@gmail.com</t>
        </is>
      </c>
      <c r="D9" s="57" t="inlineStr">
        <is>
          <t>PCL</t>
        </is>
      </c>
      <c r="E9" s="57" t="inlineStr">
        <is>
          <t>(100) TABUKAN UTARA</t>
        </is>
      </c>
      <c r="F9" s="58" t="n">
        <v>256</v>
      </c>
      <c r="G9" s="58" t="n">
        <v>44</v>
      </c>
      <c r="H9" s="59">
        <f>F9+G9</f>
        <v/>
      </c>
      <c r="I9" s="60" t="n">
        <v>87</v>
      </c>
      <c r="J9" s="60" t="n">
        <v>36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87</v>
      </c>
      <c r="P9" s="64" t="n">
        <v>44</v>
      </c>
      <c r="Q9" s="65">
        <f>P9-O9</f>
        <v/>
      </c>
      <c r="R9" s="66" t="n">
        <v>36</v>
      </c>
      <c r="S9" s="66" t="n">
        <v>6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256</v>
      </c>
      <c r="Y9" s="69" t="n">
        <v>46</v>
      </c>
      <c r="Z9" s="70">
        <f>X9+Y9</f>
        <v/>
      </c>
      <c r="AA9" s="71" t="n">
        <v>169</v>
      </c>
      <c r="AB9" s="71" t="n">
        <v>10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Avricilya Ester Rangian</t>
        </is>
      </c>
      <c r="C10" s="57" t="inlineStr">
        <is>
          <t>esterrangian@gmail.com</t>
        </is>
      </c>
      <c r="D10" s="57" t="inlineStr">
        <is>
          <t>PCL</t>
        </is>
      </c>
      <c r="E10" s="57" t="inlineStr">
        <is>
          <t>(100) TABUKAN UTARA</t>
        </is>
      </c>
      <c r="F10" s="58" t="n">
        <v>347</v>
      </c>
      <c r="G10" s="58" t="n">
        <v>27</v>
      </c>
      <c r="H10" s="59">
        <f>F10+G10</f>
        <v/>
      </c>
      <c r="I10" s="60" t="n">
        <v>46</v>
      </c>
      <c r="J10" s="60" t="n">
        <v>18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46</v>
      </c>
      <c r="P10" s="64" t="n">
        <v>75</v>
      </c>
      <c r="Q10" s="65">
        <f>P10-O10</f>
        <v/>
      </c>
      <c r="R10" s="66" t="n">
        <v>18</v>
      </c>
      <c r="S10" s="66" t="n">
        <v>2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347</v>
      </c>
      <c r="Y10" s="69" t="n">
        <v>28</v>
      </c>
      <c r="Z10" s="70">
        <f>X10+Y10</f>
        <v/>
      </c>
      <c r="AA10" s="71" t="n">
        <v>301</v>
      </c>
      <c r="AB10" s="71" t="n">
        <v>10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Kristia Mirnawati Tumpias</t>
        </is>
      </c>
      <c r="C11" s="57" t="inlineStr">
        <is>
          <t>tumpiask@gmail.com</t>
        </is>
      </c>
      <c r="D11" s="57" t="inlineStr">
        <is>
          <t>PCL</t>
        </is>
      </c>
      <c r="E11" s="57" t="inlineStr">
        <is>
          <t>(040) MANGANITU SELATAN</t>
        </is>
      </c>
      <c r="F11" s="58" t="n">
        <v>273</v>
      </c>
      <c r="G11" s="58" t="n">
        <v>30</v>
      </c>
      <c r="H11" s="59">
        <f>F11+G11</f>
        <v/>
      </c>
      <c r="I11" s="60" t="n">
        <v>65</v>
      </c>
      <c r="J11" s="60" t="n">
        <v>13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65</v>
      </c>
      <c r="P11" s="64" t="n">
        <v>56</v>
      </c>
      <c r="Q11" s="65">
        <f>P11-O11</f>
        <v/>
      </c>
      <c r="R11" s="66" t="n">
        <v>13</v>
      </c>
      <c r="S11" s="66" t="n">
        <v>5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268</v>
      </c>
      <c r="Y11" s="69" t="n">
        <v>34</v>
      </c>
      <c r="Z11" s="70">
        <f>X11+Y11</f>
        <v/>
      </c>
      <c r="AA11" s="71" t="n">
        <v>203</v>
      </c>
      <c r="AB11" s="71" t="n">
        <v>21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Alfred Jonathan</t>
        </is>
      </c>
      <c r="C12" s="57" t="inlineStr">
        <is>
          <t>alfredjonathan1986@gmail.com</t>
        </is>
      </c>
      <c r="D12" s="57" t="inlineStr">
        <is>
          <t>PCL</t>
        </is>
      </c>
      <c r="E12" s="57" t="inlineStr">
        <is>
          <t>(101) NUSA TABUKAN</t>
        </is>
      </c>
      <c r="F12" s="58" t="n">
        <v>253</v>
      </c>
      <c r="G12" s="58" t="n">
        <v>17</v>
      </c>
      <c r="H12" s="59">
        <f>F12+G12</f>
        <v/>
      </c>
      <c r="I12" s="60" t="n">
        <v>30</v>
      </c>
      <c r="J12" s="60" t="n">
        <v>11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30</v>
      </c>
      <c r="P12" s="64" t="n">
        <v>25</v>
      </c>
      <c r="Q12" s="65">
        <f>P12-O12</f>
        <v/>
      </c>
      <c r="R12" s="66" t="n">
        <v>11</v>
      </c>
      <c r="S12" s="66" t="n">
        <v>1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253</v>
      </c>
      <c r="Y12" s="69" t="n">
        <v>15</v>
      </c>
      <c r="Z12" s="70">
        <f>X12+Y12</f>
        <v/>
      </c>
      <c r="AA12" s="71" t="n">
        <v>223</v>
      </c>
      <c r="AB12" s="71" t="n">
        <v>4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Merry Christiani Lano</t>
        </is>
      </c>
      <c r="C13" s="57" t="inlineStr">
        <is>
          <t>lanomerrych@gmail.com</t>
        </is>
      </c>
      <c r="D13" s="57" t="inlineStr">
        <is>
          <t>PCL</t>
        </is>
      </c>
      <c r="E13" s="57" t="inlineStr">
        <is>
          <t>(050) TAMAKO</t>
        </is>
      </c>
      <c r="F13" s="58" t="n">
        <v>326</v>
      </c>
      <c r="G13" s="58" t="n">
        <v>67</v>
      </c>
      <c r="H13" s="59">
        <f>F13+G13</f>
        <v/>
      </c>
      <c r="I13" s="60" t="n">
        <v>100</v>
      </c>
      <c r="J13" s="60" t="n">
        <v>38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100</v>
      </c>
      <c r="P13" s="64" t="n">
        <v>38</v>
      </c>
      <c r="Q13" s="65">
        <f>P13-O13</f>
        <v/>
      </c>
      <c r="R13" s="66" t="n">
        <v>38</v>
      </c>
      <c r="S13" s="66" t="n">
        <v>23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320</v>
      </c>
      <c r="Y13" s="69" t="n">
        <v>62</v>
      </c>
      <c r="Z13" s="70">
        <f>X13+Y13</f>
        <v/>
      </c>
      <c r="AA13" s="71" t="n">
        <v>220</v>
      </c>
      <c r="AB13" s="71" t="n">
        <v>24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Fitria Rianti Gorosita</t>
        </is>
      </c>
      <c r="C14" s="57" t="inlineStr">
        <is>
          <t>fitriagorosita19@gmail.com</t>
        </is>
      </c>
      <c r="D14" s="57" t="inlineStr">
        <is>
          <t>PCL</t>
        </is>
      </c>
      <c r="E14" s="57" t="inlineStr">
        <is>
          <t>(060) TABUKAN SELATAN</t>
        </is>
      </c>
      <c r="F14" s="58" t="n">
        <v>264</v>
      </c>
      <c r="G14" s="58" t="n">
        <v>38</v>
      </c>
      <c r="H14" s="59">
        <f>F14+G14</f>
        <v/>
      </c>
      <c r="I14" s="60" t="n">
        <v>28</v>
      </c>
      <c r="J14" s="60" t="n">
        <v>22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28</v>
      </c>
      <c r="P14" s="64" t="n">
        <v>42</v>
      </c>
      <c r="Q14" s="65">
        <f>P14-O14</f>
        <v/>
      </c>
      <c r="R14" s="66" t="n">
        <v>22</v>
      </c>
      <c r="S14" s="66" t="n">
        <v>4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258</v>
      </c>
      <c r="Y14" s="69" t="n">
        <v>33</v>
      </c>
      <c r="Z14" s="70">
        <f>X14+Y14</f>
        <v/>
      </c>
      <c r="AA14" s="71" t="n">
        <v>230</v>
      </c>
      <c r="AB14" s="71" t="n">
        <v>11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Meychindy Riane Takaheghesang</t>
        </is>
      </c>
      <c r="C15" s="57" t="inlineStr">
        <is>
          <t>chindytakaheghesang22@gmail.com</t>
        </is>
      </c>
      <c r="D15" s="57" t="inlineStr">
        <is>
          <t>PCL</t>
        </is>
      </c>
      <c r="E15" s="57" t="inlineStr">
        <is>
          <t>(060) TABUKAN SELATAN</t>
        </is>
      </c>
      <c r="F15" s="58" t="n">
        <v>147</v>
      </c>
      <c r="G15" s="58" t="n">
        <v>195</v>
      </c>
      <c r="H15" s="59">
        <f>F15+G15</f>
        <v/>
      </c>
      <c r="I15" s="60" t="n">
        <v>20</v>
      </c>
      <c r="J15" s="60" t="n">
        <v>37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20</v>
      </c>
      <c r="P15" s="64" t="n">
        <v>25</v>
      </c>
      <c r="Q15" s="65">
        <f>P15-O15</f>
        <v/>
      </c>
      <c r="R15" s="66" t="n">
        <v>37</v>
      </c>
      <c r="S15" s="66" t="n">
        <v>56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142</v>
      </c>
      <c r="Y15" s="69" t="n">
        <v>184</v>
      </c>
      <c r="Z15" s="70">
        <f>X15+Y15</f>
        <v/>
      </c>
      <c r="AA15" s="71" t="n">
        <v>122</v>
      </c>
      <c r="AB15" s="71" t="n">
        <v>147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Nurhayati Mangentiku</t>
        </is>
      </c>
      <c r="C16" s="57" t="inlineStr">
        <is>
          <t>nurhayatimangentiku1992@gmail.com</t>
        </is>
      </c>
      <c r="D16" s="57" t="inlineStr">
        <is>
          <t>PCL</t>
        </is>
      </c>
      <c r="E16" s="57" t="inlineStr">
        <is>
          <t>(100) TABUKAN UTARA</t>
        </is>
      </c>
      <c r="F16" s="58" t="n">
        <v>299</v>
      </c>
      <c r="G16" s="58" t="n">
        <v>26</v>
      </c>
      <c r="H16" s="59">
        <f>F16+G16</f>
        <v/>
      </c>
      <c r="I16" s="60" t="n">
        <v>57</v>
      </c>
      <c r="J16" s="60" t="n">
        <v>17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57</v>
      </c>
      <c r="P16" s="64" t="n">
        <v>38</v>
      </c>
      <c r="Q16" s="65">
        <f>P16-O16</f>
        <v/>
      </c>
      <c r="R16" s="66" t="n">
        <v>17</v>
      </c>
      <c r="S16" s="66" t="n">
        <v>9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281</v>
      </c>
      <c r="Y16" s="69" t="n">
        <v>28</v>
      </c>
      <c r="Z16" s="70">
        <f>X16+Y16</f>
        <v/>
      </c>
      <c r="AA16" s="71" t="n">
        <v>224</v>
      </c>
      <c r="AB16" s="71" t="n">
        <v>11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Meisye Fransiska Samau</t>
        </is>
      </c>
      <c r="C17" s="57" t="inlineStr">
        <is>
          <t>meisyesamau32@gmail.com</t>
        </is>
      </c>
      <c r="D17" s="57" t="inlineStr">
        <is>
          <t>PCL</t>
        </is>
      </c>
      <c r="E17" s="57" t="inlineStr">
        <is>
          <t>(060) TABUKAN SELATAN</t>
        </is>
      </c>
      <c r="F17" s="58" t="n">
        <v>283</v>
      </c>
      <c r="G17" s="58" t="n">
        <v>36</v>
      </c>
      <c r="H17" s="59">
        <f>F17+G17</f>
        <v/>
      </c>
      <c r="I17" s="60" t="n">
        <v>57</v>
      </c>
      <c r="J17" s="60" t="n">
        <v>9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57</v>
      </c>
      <c r="P17" s="64" t="n">
        <v>59</v>
      </c>
      <c r="Q17" s="65">
        <f>P17-O17</f>
        <v/>
      </c>
      <c r="R17" s="66" t="n">
        <v>9</v>
      </c>
      <c r="S17" s="66" t="n">
        <v>5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272</v>
      </c>
      <c r="Y17" s="69" t="n">
        <v>31</v>
      </c>
      <c r="Z17" s="70">
        <f>X17+Y17</f>
        <v/>
      </c>
      <c r="AA17" s="71" t="n">
        <v>215</v>
      </c>
      <c r="AB17" s="71" t="n">
        <v>22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Veronika Saletia</t>
        </is>
      </c>
      <c r="C18" s="57" t="inlineStr">
        <is>
          <t>saletiaveronika@gmail.com</t>
        </is>
      </c>
      <c r="D18" s="57" t="inlineStr">
        <is>
          <t>PCL</t>
        </is>
      </c>
      <c r="E18" s="57" t="inlineStr">
        <is>
          <t>(040) MANGANITU SELATAN</t>
        </is>
      </c>
      <c r="F18" s="58" t="n">
        <v>291</v>
      </c>
      <c r="G18" s="58" t="n">
        <v>25</v>
      </c>
      <c r="H18" s="59">
        <f>F18+G18</f>
        <v/>
      </c>
      <c r="I18" s="60" t="n">
        <v>42</v>
      </c>
      <c r="J18" s="60" t="n">
        <v>9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42</v>
      </c>
      <c r="P18" s="64" t="n">
        <v>43</v>
      </c>
      <c r="Q18" s="65">
        <f>P18-O18</f>
        <v/>
      </c>
      <c r="R18" s="66" t="n">
        <v>9</v>
      </c>
      <c r="S18" s="66" t="n">
        <v>5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271</v>
      </c>
      <c r="Y18" s="69" t="n">
        <v>26</v>
      </c>
      <c r="Z18" s="70">
        <f>X18+Y18</f>
        <v/>
      </c>
      <c r="AA18" s="71" t="n">
        <v>229</v>
      </c>
      <c r="AB18" s="71" t="n">
        <v>17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Ayu Lestari Areros</t>
        </is>
      </c>
      <c r="C19" s="57" t="inlineStr">
        <is>
          <t>ayuareros714@gmail.com</t>
        </is>
      </c>
      <c r="D19" s="57" t="inlineStr">
        <is>
          <t>PCL</t>
        </is>
      </c>
      <c r="E19" s="57" t="inlineStr">
        <is>
          <t>(040) MANGANITU SELATAN</t>
        </is>
      </c>
      <c r="F19" s="58" t="n">
        <v>244</v>
      </c>
      <c r="G19" s="58" t="n">
        <v>44</v>
      </c>
      <c r="H19" s="59">
        <f>F19+G19</f>
        <v/>
      </c>
      <c r="I19" s="60" t="n">
        <v>37</v>
      </c>
      <c r="J19" s="60" t="n">
        <v>15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37</v>
      </c>
      <c r="P19" s="64" t="n">
        <v>8</v>
      </c>
      <c r="Q19" s="65">
        <f>P19-O19</f>
        <v/>
      </c>
      <c r="R19" s="66" t="n">
        <v>15</v>
      </c>
      <c r="S19" s="66" t="n">
        <v>0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232</v>
      </c>
      <c r="Y19" s="69" t="n">
        <v>37</v>
      </c>
      <c r="Z19" s="70">
        <f>X19+Y19</f>
        <v/>
      </c>
      <c r="AA19" s="71" t="n">
        <v>195</v>
      </c>
      <c r="AB19" s="71" t="n">
        <v>22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Rubiani Mamuka</t>
        </is>
      </c>
      <c r="C20" s="57" t="inlineStr">
        <is>
          <t>mamukarubiany1990@gmail.com</t>
        </is>
      </c>
      <c r="D20" s="57" t="inlineStr">
        <is>
          <t>PCL</t>
        </is>
      </c>
      <c r="E20" s="57" t="inlineStr">
        <is>
          <t>(100) TABUKAN UTARA</t>
        </is>
      </c>
      <c r="F20" s="58" t="n">
        <v>371</v>
      </c>
      <c r="G20" s="58" t="n">
        <v>20</v>
      </c>
      <c r="H20" s="59">
        <f>F20+G20</f>
        <v/>
      </c>
      <c r="I20" s="60" t="n">
        <v>55</v>
      </c>
      <c r="J20" s="60" t="n">
        <v>12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55</v>
      </c>
      <c r="P20" s="64" t="n">
        <v>60</v>
      </c>
      <c r="Q20" s="65">
        <f>P20-O20</f>
        <v/>
      </c>
      <c r="R20" s="66" t="n">
        <v>12</v>
      </c>
      <c r="S20" s="66" t="n">
        <v>3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340</v>
      </c>
      <c r="Y20" s="69" t="n">
        <v>21</v>
      </c>
      <c r="Z20" s="70">
        <f>X20+Y20</f>
        <v/>
      </c>
      <c r="AA20" s="71" t="n">
        <v>285</v>
      </c>
      <c r="AB20" s="71" t="n">
        <v>9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Puteri Teratai Timuhingide</t>
        </is>
      </c>
      <c r="C21" s="57" t="inlineStr">
        <is>
          <t>07pupit@gmail.com</t>
        </is>
      </c>
      <c r="D21" s="57" t="inlineStr">
        <is>
          <t>PCL</t>
        </is>
      </c>
      <c r="E21" s="57" t="inlineStr">
        <is>
          <t>(050) TAMAKO</t>
        </is>
      </c>
      <c r="F21" s="58" t="n">
        <v>310</v>
      </c>
      <c r="G21" s="58" t="n">
        <v>52</v>
      </c>
      <c r="H21" s="59">
        <f>F21+G21</f>
        <v/>
      </c>
      <c r="I21" s="60" t="n">
        <v>48</v>
      </c>
      <c r="J21" s="60" t="n">
        <v>30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48</v>
      </c>
      <c r="P21" s="64" t="n">
        <v>47</v>
      </c>
      <c r="Q21" s="65">
        <f>P21-O21</f>
        <v/>
      </c>
      <c r="R21" s="66" t="n">
        <v>30</v>
      </c>
      <c r="S21" s="66" t="n">
        <v>36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248</v>
      </c>
      <c r="Y21" s="69" t="n">
        <v>86</v>
      </c>
      <c r="Z21" s="70">
        <f>X21+Y21</f>
        <v/>
      </c>
      <c r="AA21" s="71" t="n">
        <v>200</v>
      </c>
      <c r="AB21" s="71" t="n">
        <v>56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Feybe Ayuninsi Patandra</t>
        </is>
      </c>
      <c r="C22" s="57" t="inlineStr">
        <is>
          <t>patandrafeybeayuninsi@gmail.com</t>
        </is>
      </c>
      <c r="D22" s="57" t="inlineStr">
        <is>
          <t>PCL</t>
        </is>
      </c>
      <c r="E22" s="57" t="inlineStr">
        <is>
          <t>(041) TATOARENG</t>
        </is>
      </c>
      <c r="F22" s="58" t="n">
        <v>347</v>
      </c>
      <c r="G22" s="58" t="n">
        <v>18</v>
      </c>
      <c r="H22" s="59">
        <f>F22+G22</f>
        <v/>
      </c>
      <c r="I22" s="60" t="n">
        <v>85</v>
      </c>
      <c r="J22" s="60" t="n">
        <v>2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85</v>
      </c>
      <c r="P22" s="64" t="n">
        <v>29</v>
      </c>
      <c r="Q22" s="65">
        <f>P22-O22</f>
        <v/>
      </c>
      <c r="R22" s="66" t="n">
        <v>2</v>
      </c>
      <c r="S22" s="66" t="n">
        <v>0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325</v>
      </c>
      <c r="Y22" s="69" t="n">
        <v>11</v>
      </c>
      <c r="Z22" s="70">
        <f>X22+Y22</f>
        <v/>
      </c>
      <c r="AA22" s="71" t="n">
        <v>240</v>
      </c>
      <c r="AB22" s="71" t="n">
        <v>9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Ahmad Risandi Karim</t>
        </is>
      </c>
      <c r="C23" s="57" t="inlineStr">
        <is>
          <t>ahmadrisandikarim@gmail.com</t>
        </is>
      </c>
      <c r="D23" s="57" t="inlineStr">
        <is>
          <t>PCL</t>
        </is>
      </c>
      <c r="E23" s="57" t="inlineStr">
        <is>
          <t>(101) NUSA TABUKAN</t>
        </is>
      </c>
      <c r="F23" s="58" t="n">
        <v>308</v>
      </c>
      <c r="G23" s="58" t="n">
        <v>14</v>
      </c>
      <c r="H23" s="59">
        <f>F23+G23</f>
        <v/>
      </c>
      <c r="I23" s="60" t="n">
        <v>24</v>
      </c>
      <c r="J23" s="60" t="n">
        <v>4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24</v>
      </c>
      <c r="P23" s="64" t="n">
        <v>31</v>
      </c>
      <c r="Q23" s="65">
        <f>P23-O23</f>
        <v/>
      </c>
      <c r="R23" s="66" t="n">
        <v>4</v>
      </c>
      <c r="S23" s="66" t="n">
        <v>1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285</v>
      </c>
      <c r="Y23" s="69" t="n">
        <v>11</v>
      </c>
      <c r="Z23" s="70">
        <f>X23+Y23</f>
        <v/>
      </c>
      <c r="AA23" s="71" t="n">
        <v>261</v>
      </c>
      <c r="AB23" s="71" t="n">
        <v>7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Clara Patricia Pangandaheng</t>
        </is>
      </c>
      <c r="C24" s="57" t="inlineStr">
        <is>
          <t>pangandahengclara11@gmail.com</t>
        </is>
      </c>
      <c r="D24" s="57" t="inlineStr">
        <is>
          <t>PCL</t>
        </is>
      </c>
      <c r="E24" s="57" t="inlineStr">
        <is>
          <t>(060) TABUKAN SELATAN</t>
        </is>
      </c>
      <c r="F24" s="58" t="n">
        <v>259</v>
      </c>
      <c r="G24" s="58" t="n">
        <v>35</v>
      </c>
      <c r="H24" s="59">
        <f>F24+G24</f>
        <v/>
      </c>
      <c r="I24" s="60" t="n">
        <v>43</v>
      </c>
      <c r="J24" s="60" t="n">
        <v>25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43</v>
      </c>
      <c r="P24" s="64" t="n">
        <v>48</v>
      </c>
      <c r="Q24" s="65">
        <f>P24-O24</f>
        <v/>
      </c>
      <c r="R24" s="66" t="n">
        <v>25</v>
      </c>
      <c r="S24" s="66" t="n">
        <v>4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237</v>
      </c>
      <c r="Y24" s="69" t="n">
        <v>33</v>
      </c>
      <c r="Z24" s="70">
        <f>X24+Y24</f>
        <v/>
      </c>
      <c r="AA24" s="71" t="n">
        <v>194</v>
      </c>
      <c r="AB24" s="71" t="n">
        <v>8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Cevin Sander Zon Makapedua</t>
        </is>
      </c>
      <c r="C25" s="57" t="inlineStr">
        <is>
          <t>cevinmakapedua926@gmail.com</t>
        </is>
      </c>
      <c r="D25" s="57" t="inlineStr">
        <is>
          <t>PCL</t>
        </is>
      </c>
      <c r="E25" s="57" t="inlineStr">
        <is>
          <t>(060) TABUKAN SELATAN</t>
        </is>
      </c>
      <c r="F25" s="58" t="n">
        <v>264</v>
      </c>
      <c r="G25" s="58" t="n">
        <v>47</v>
      </c>
      <c r="H25" s="59">
        <f>F25+G25</f>
        <v/>
      </c>
      <c r="I25" s="60" t="n">
        <v>41</v>
      </c>
      <c r="J25" s="60" t="n">
        <v>32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41</v>
      </c>
      <c r="P25" s="64" t="n">
        <v>30</v>
      </c>
      <c r="Q25" s="65">
        <f>P25-O25</f>
        <v/>
      </c>
      <c r="R25" s="66" t="n">
        <v>32</v>
      </c>
      <c r="S25" s="66" t="n">
        <v>8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241</v>
      </c>
      <c r="Y25" s="69" t="n">
        <v>44</v>
      </c>
      <c r="Z25" s="70">
        <f>X25+Y25</f>
        <v/>
      </c>
      <c r="AA25" s="71" t="n">
        <v>200</v>
      </c>
      <c r="AB25" s="71" t="n">
        <v>12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Sunardi Tamado</t>
        </is>
      </c>
      <c r="C26" s="57" t="inlineStr">
        <is>
          <t>sunarditamado2@gmail.com</t>
        </is>
      </c>
      <c r="D26" s="57" t="inlineStr">
        <is>
          <t>PCL</t>
        </is>
      </c>
      <c r="E26" s="57" t="inlineStr">
        <is>
          <t>(040) MANGANITU SELATAN</t>
        </is>
      </c>
      <c r="F26" s="58" t="n">
        <v>375</v>
      </c>
      <c r="G26" s="58" t="n">
        <v>53</v>
      </c>
      <c r="H26" s="59">
        <f>F26+G26</f>
        <v/>
      </c>
      <c r="I26" s="60" t="n">
        <v>65</v>
      </c>
      <c r="J26" s="60" t="n">
        <v>34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65</v>
      </c>
      <c r="P26" s="64" t="n">
        <v>46</v>
      </c>
      <c r="Q26" s="65">
        <f>P26-O26</f>
        <v/>
      </c>
      <c r="R26" s="66" t="n">
        <v>34</v>
      </c>
      <c r="S26" s="66" t="n">
        <v>2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346</v>
      </c>
      <c r="Y26" s="69" t="n">
        <v>43</v>
      </c>
      <c r="Z26" s="70">
        <f>X26+Y26</f>
        <v/>
      </c>
      <c r="AA26" s="71" t="n">
        <v>281</v>
      </c>
      <c r="AB26" s="71" t="n">
        <v>9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>
        <is>
          <t>Asari Prisilia Antari</t>
        </is>
      </c>
      <c r="C27" s="57" t="inlineStr">
        <is>
          <t>asaripantari@gmail.com</t>
        </is>
      </c>
      <c r="D27" s="57" t="inlineStr">
        <is>
          <t>PCL</t>
        </is>
      </c>
      <c r="E27" s="57" t="inlineStr">
        <is>
          <t>(050) TAMAKO</t>
        </is>
      </c>
      <c r="F27" s="58" t="n">
        <v>352</v>
      </c>
      <c r="G27" s="58" t="n">
        <v>16</v>
      </c>
      <c r="H27" s="59">
        <f>F27+G27</f>
        <v/>
      </c>
      <c r="I27" s="60" t="n">
        <v>73</v>
      </c>
      <c r="J27" s="60" t="n">
        <v>13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73</v>
      </c>
      <c r="P27" s="64" t="n">
        <v>6</v>
      </c>
      <c r="Q27" s="65">
        <f>P27-O27</f>
        <v/>
      </c>
      <c r="R27" s="66" t="n">
        <v>13</v>
      </c>
      <c r="S27" s="66" t="n">
        <v>7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312</v>
      </c>
      <c r="Y27" s="69" t="n">
        <v>20</v>
      </c>
      <c r="Z27" s="70">
        <f>X27+Y27</f>
        <v/>
      </c>
      <c r="AA27" s="71" t="n">
        <v>239</v>
      </c>
      <c r="AB27" s="71" t="n">
        <v>7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Arianti Adahati</t>
        </is>
      </c>
      <c r="C28" s="57" t="inlineStr">
        <is>
          <t>ariantiadahati05@gmail.com</t>
        </is>
      </c>
      <c r="D28" s="57" t="inlineStr">
        <is>
          <t>PCL</t>
        </is>
      </c>
      <c r="E28" s="57" t="inlineStr">
        <is>
          <t>(091) TAHUNA TIMUR</t>
        </is>
      </c>
      <c r="F28" s="58" t="n">
        <v>365</v>
      </c>
      <c r="G28" s="58" t="n">
        <v>54</v>
      </c>
      <c r="H28" s="59">
        <f>F28+G28</f>
        <v/>
      </c>
      <c r="I28" s="60" t="n">
        <v>102</v>
      </c>
      <c r="J28" s="60" t="n">
        <v>28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102</v>
      </c>
      <c r="P28" s="64" t="n">
        <v>74</v>
      </c>
      <c r="Q28" s="65">
        <f>P28-O28</f>
        <v/>
      </c>
      <c r="R28" s="66" t="n">
        <v>28</v>
      </c>
      <c r="S28" s="66" t="n">
        <v>14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316</v>
      </c>
      <c r="Y28" s="69" t="n">
        <v>61</v>
      </c>
      <c r="Z28" s="70">
        <f>X28+Y28</f>
        <v/>
      </c>
      <c r="AA28" s="71" t="n">
        <v>214</v>
      </c>
      <c r="AB28" s="71" t="n">
        <v>33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Glenn Christi Palembang</t>
        </is>
      </c>
      <c r="C29" s="57" t="inlineStr">
        <is>
          <t>palembangglenn@gmail.com</t>
        </is>
      </c>
      <c r="D29" s="57" t="inlineStr">
        <is>
          <t>PCL</t>
        </is>
      </c>
      <c r="E29" s="57" t="inlineStr">
        <is>
          <t>(050) TAMAKO</t>
        </is>
      </c>
      <c r="F29" s="58" t="n">
        <v>344</v>
      </c>
      <c r="G29" s="58" t="n">
        <v>13</v>
      </c>
      <c r="H29" s="59">
        <f>F29+G29</f>
        <v/>
      </c>
      <c r="I29" s="60" t="n">
        <v>103</v>
      </c>
      <c r="J29" s="60" t="n">
        <v>10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103</v>
      </c>
      <c r="P29" s="64" t="n">
        <v>6</v>
      </c>
      <c r="Q29" s="65">
        <f>P29-O29</f>
        <v/>
      </c>
      <c r="R29" s="66" t="n">
        <v>10</v>
      </c>
      <c r="S29" s="66" t="n">
        <v>6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303</v>
      </c>
      <c r="Y29" s="69" t="n">
        <v>18</v>
      </c>
      <c r="Z29" s="70">
        <f>X29+Y29</f>
        <v/>
      </c>
      <c r="AA29" s="71" t="n">
        <v>200</v>
      </c>
      <c r="AB29" s="71" t="n">
        <v>8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Fiona F. Adrian</t>
        </is>
      </c>
      <c r="C30" s="57" t="inlineStr">
        <is>
          <t>fionafinki@gmail.com</t>
        </is>
      </c>
      <c r="D30" s="57" t="inlineStr">
        <is>
          <t>PCL</t>
        </is>
      </c>
      <c r="E30" s="57" t="inlineStr">
        <is>
          <t>(060) TABUKAN SELATAN</t>
        </is>
      </c>
      <c r="F30" s="58" t="n">
        <v>313</v>
      </c>
      <c r="G30" s="58" t="n">
        <v>23</v>
      </c>
      <c r="H30" s="59">
        <f>F30+G30</f>
        <v/>
      </c>
      <c r="I30" s="60" t="n">
        <v>51</v>
      </c>
      <c r="J30" s="60" t="n">
        <v>6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51</v>
      </c>
      <c r="P30" s="64" t="n">
        <v>37</v>
      </c>
      <c r="Q30" s="65">
        <f>P30-O30</f>
        <v/>
      </c>
      <c r="R30" s="66" t="n">
        <v>6</v>
      </c>
      <c r="S30" s="66" t="n">
        <v>5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285</v>
      </c>
      <c r="Y30" s="69" t="n">
        <v>17</v>
      </c>
      <c r="Z30" s="70">
        <f>X30+Y30</f>
        <v/>
      </c>
      <c r="AA30" s="71" t="n">
        <v>234</v>
      </c>
      <c r="AB30" s="71" t="n">
        <v>11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Anace Diamanis</t>
        </is>
      </c>
      <c r="C31" s="57" t="inlineStr">
        <is>
          <t>anacediamanis@gmail.com</t>
        </is>
      </c>
      <c r="D31" s="57" t="inlineStr">
        <is>
          <t>PCL</t>
        </is>
      </c>
      <c r="E31" s="57" t="inlineStr">
        <is>
          <t>(080) MANGANITU</t>
        </is>
      </c>
      <c r="F31" s="58" t="n">
        <v>356</v>
      </c>
      <c r="G31" s="58" t="n">
        <v>16</v>
      </c>
      <c r="H31" s="59">
        <f>F31+G31</f>
        <v/>
      </c>
      <c r="I31" s="60" t="n">
        <v>41</v>
      </c>
      <c r="J31" s="60" t="n">
        <v>10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41</v>
      </c>
      <c r="P31" s="64" t="n">
        <v>86</v>
      </c>
      <c r="Q31" s="65">
        <f>P31-O31</f>
        <v/>
      </c>
      <c r="R31" s="66" t="n">
        <v>10</v>
      </c>
      <c r="S31" s="66" t="n">
        <v>18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294</v>
      </c>
      <c r="Y31" s="69" t="n">
        <v>31</v>
      </c>
      <c r="Z31" s="70">
        <f>X31+Y31</f>
        <v/>
      </c>
      <c r="AA31" s="71" t="n">
        <v>253</v>
      </c>
      <c r="AB31" s="71" t="n">
        <v>21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Stevanus Francois Mangeghong</t>
        </is>
      </c>
      <c r="C32" s="57" t="inlineStr">
        <is>
          <t>stivfrancois@gmail.com</t>
        </is>
      </c>
      <c r="D32" s="57" t="inlineStr">
        <is>
          <t>PCL</t>
        </is>
      </c>
      <c r="E32" s="57" t="inlineStr">
        <is>
          <t>(050) TAMAKO</t>
        </is>
      </c>
      <c r="F32" s="58" t="n">
        <v>347</v>
      </c>
      <c r="G32" s="58" t="n">
        <v>18</v>
      </c>
      <c r="H32" s="59">
        <f>F32+G32</f>
        <v/>
      </c>
      <c r="I32" s="60" t="n">
        <v>89</v>
      </c>
      <c r="J32" s="60" t="n">
        <v>10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89</v>
      </c>
      <c r="P32" s="64" t="n">
        <v>21</v>
      </c>
      <c r="Q32" s="65">
        <f>P32-O32</f>
        <v/>
      </c>
      <c r="R32" s="66" t="n">
        <v>10</v>
      </c>
      <c r="S32" s="66" t="n">
        <v>7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289</v>
      </c>
      <c r="Y32" s="69" t="n">
        <v>20</v>
      </c>
      <c r="Z32" s="70">
        <f>X32+Y32</f>
        <v/>
      </c>
      <c r="AA32" s="71" t="n">
        <v>200</v>
      </c>
      <c r="AB32" s="71" t="n">
        <v>10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Winda Metia</t>
        </is>
      </c>
      <c r="C33" s="57" t="inlineStr">
        <is>
          <t>windametia67@gmail.com</t>
        </is>
      </c>
      <c r="D33" s="57" t="inlineStr">
        <is>
          <t>PCL</t>
        </is>
      </c>
      <c r="E33" s="57" t="inlineStr">
        <is>
          <t>(040) MANGANITU SELATAN</t>
        </is>
      </c>
      <c r="F33" s="58" t="n">
        <v>303</v>
      </c>
      <c r="G33" s="58" t="n">
        <v>15</v>
      </c>
      <c r="H33" s="59">
        <f>F33+G33</f>
        <v/>
      </c>
      <c r="I33" s="60" t="n">
        <v>48</v>
      </c>
      <c r="J33" s="60" t="n">
        <v>7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48</v>
      </c>
      <c r="P33" s="64" t="n">
        <v>31</v>
      </c>
      <c r="Q33" s="65">
        <f>P33-O33</f>
        <v/>
      </c>
      <c r="R33" s="66" t="n">
        <v>7</v>
      </c>
      <c r="S33" s="66" t="n">
        <v>2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253</v>
      </c>
      <c r="Y33" s="69" t="n">
        <v>14</v>
      </c>
      <c r="Z33" s="70">
        <f>X33+Y33</f>
        <v/>
      </c>
      <c r="AA33" s="71" t="n">
        <v>205</v>
      </c>
      <c r="AB33" s="71" t="n">
        <v>7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Grees Pangandaheng</t>
        </is>
      </c>
      <c r="C34" s="57" t="inlineStr">
        <is>
          <t>greispangandaheng@gmail.com</t>
        </is>
      </c>
      <c r="D34" s="57" t="inlineStr">
        <is>
          <t>PCL</t>
        </is>
      </c>
      <c r="E34" s="57" t="inlineStr">
        <is>
          <t>(050) TAMAKO</t>
        </is>
      </c>
      <c r="F34" s="58" t="n">
        <v>395</v>
      </c>
      <c r="G34" s="58" t="n">
        <v>8</v>
      </c>
      <c r="H34" s="59">
        <f>F34+G34</f>
        <v/>
      </c>
      <c r="I34" s="60" t="n">
        <v>112</v>
      </c>
      <c r="J34" s="60" t="n">
        <v>3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112</v>
      </c>
      <c r="P34" s="64" t="n">
        <v>60</v>
      </c>
      <c r="Q34" s="65">
        <f>P34-O34</f>
        <v/>
      </c>
      <c r="R34" s="66" t="n">
        <v>3</v>
      </c>
      <c r="S34" s="66" t="n">
        <v>9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321</v>
      </c>
      <c r="Y34" s="69" t="n">
        <v>14</v>
      </c>
      <c r="Z34" s="70">
        <f>X34+Y34</f>
        <v/>
      </c>
      <c r="AA34" s="71" t="n">
        <v>209</v>
      </c>
      <c r="AB34" s="71" t="n">
        <v>11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Juldrike Tuwohingide</t>
        </is>
      </c>
      <c r="C35" s="57" t="inlineStr">
        <is>
          <t>juldriketuwohingide@gmail.com</t>
        </is>
      </c>
      <c r="D35" s="57" t="inlineStr">
        <is>
          <t>PCL</t>
        </is>
      </c>
      <c r="E35" s="57" t="inlineStr">
        <is>
          <t>(050) TAMAKO</t>
        </is>
      </c>
      <c r="F35" s="58" t="n">
        <v>328</v>
      </c>
      <c r="G35" s="58" t="n">
        <v>30</v>
      </c>
      <c r="H35" s="59">
        <f>F35+G35</f>
        <v/>
      </c>
      <c r="I35" s="60" t="n">
        <v>34</v>
      </c>
      <c r="J35" s="60" t="n">
        <v>14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34</v>
      </c>
      <c r="P35" s="64" t="n">
        <v>52</v>
      </c>
      <c r="Q35" s="65">
        <f>P35-O35</f>
        <v/>
      </c>
      <c r="R35" s="66" t="n">
        <v>14</v>
      </c>
      <c r="S35" s="66" t="n">
        <v>12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267</v>
      </c>
      <c r="Y35" s="69" t="n">
        <v>30</v>
      </c>
      <c r="Z35" s="70">
        <f>X35+Y35</f>
        <v/>
      </c>
      <c r="AA35" s="71" t="n">
        <v>233</v>
      </c>
      <c r="AB35" s="71" t="n">
        <v>16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Fadli Samalam</t>
        </is>
      </c>
      <c r="C36" s="57" t="inlineStr">
        <is>
          <t>fadlysamalam052@gmail.com</t>
        </is>
      </c>
      <c r="D36" s="57" t="inlineStr">
        <is>
          <t>PCL</t>
        </is>
      </c>
      <c r="E36" s="57" t="inlineStr">
        <is>
          <t>(100) TABUKAN UTARA</t>
        </is>
      </c>
      <c r="F36" s="58" t="n">
        <v>372</v>
      </c>
      <c r="G36" s="58" t="n">
        <v>16</v>
      </c>
      <c r="H36" s="59">
        <f>F36+G36</f>
        <v/>
      </c>
      <c r="I36" s="60" t="n">
        <v>39</v>
      </c>
      <c r="J36" s="60" t="n">
        <v>8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39</v>
      </c>
      <c r="P36" s="64" t="n">
        <v>41</v>
      </c>
      <c r="Q36" s="65">
        <f>P36-O36</f>
        <v/>
      </c>
      <c r="R36" s="66" t="n">
        <v>8</v>
      </c>
      <c r="S36" s="66" t="n">
        <v>3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304</v>
      </c>
      <c r="Y36" s="69" t="n">
        <v>14</v>
      </c>
      <c r="Z36" s="70">
        <f>X36+Y36</f>
        <v/>
      </c>
      <c r="AA36" s="71" t="n">
        <v>265</v>
      </c>
      <c r="AB36" s="71" t="n">
        <v>6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Geno Pepa Paraso</t>
        </is>
      </c>
      <c r="C37" s="57" t="inlineStr">
        <is>
          <t>ghenovhepaparaso@gmail.com</t>
        </is>
      </c>
      <c r="D37" s="57" t="inlineStr">
        <is>
          <t>PCL</t>
        </is>
      </c>
      <c r="E37" s="57" t="inlineStr">
        <is>
          <t>(090) TAHUNA</t>
        </is>
      </c>
      <c r="F37" s="58" t="n">
        <v>201</v>
      </c>
      <c r="G37" s="58" t="n">
        <v>209</v>
      </c>
      <c r="H37" s="59">
        <f>F37+G37</f>
        <v/>
      </c>
      <c r="I37" s="60" t="n">
        <v>52</v>
      </c>
      <c r="J37" s="60" t="n">
        <v>69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52</v>
      </c>
      <c r="P37" s="64" t="n">
        <v>21</v>
      </c>
      <c r="Q37" s="65">
        <f>P37-O37</f>
        <v/>
      </c>
      <c r="R37" s="66" t="n">
        <v>69</v>
      </c>
      <c r="S37" s="66" t="n">
        <v>39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171</v>
      </c>
      <c r="Y37" s="69" t="n">
        <v>162</v>
      </c>
      <c r="Z37" s="70">
        <f>X37+Y37</f>
        <v/>
      </c>
      <c r="AA37" s="71" t="n">
        <v>119</v>
      </c>
      <c r="AB37" s="71" t="n">
        <v>93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Ritmawati Siliwire</t>
        </is>
      </c>
      <c r="C38" s="57" t="inlineStr">
        <is>
          <t>ritmawatisiliwire03@gmail.com</t>
        </is>
      </c>
      <c r="D38" s="57" t="inlineStr">
        <is>
          <t>PCL</t>
        </is>
      </c>
      <c r="E38" s="57" t="inlineStr">
        <is>
          <t>(091) TAHUNA TIMUR</t>
        </is>
      </c>
      <c r="F38" s="58" t="n">
        <v>367</v>
      </c>
      <c r="G38" s="58" t="n">
        <v>46</v>
      </c>
      <c r="H38" s="59">
        <f>F38+G38</f>
        <v/>
      </c>
      <c r="I38" s="60" t="n">
        <v>74</v>
      </c>
      <c r="J38" s="60" t="n">
        <v>20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74</v>
      </c>
      <c r="P38" s="64" t="n">
        <v>90</v>
      </c>
      <c r="Q38" s="65">
        <f>P38-O38</f>
        <v/>
      </c>
      <c r="R38" s="66" t="n">
        <v>20</v>
      </c>
      <c r="S38" s="66" t="n">
        <v>11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296</v>
      </c>
      <c r="Y38" s="69" t="n">
        <v>39</v>
      </c>
      <c r="Z38" s="70">
        <f>X38+Y38</f>
        <v/>
      </c>
      <c r="AA38" s="71" t="n">
        <v>222</v>
      </c>
      <c r="AB38" s="71" t="n">
        <v>19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Novatania Makagansa</t>
        </is>
      </c>
      <c r="C39" s="57" t="inlineStr">
        <is>
          <t>makagansanova@gmail.com</t>
        </is>
      </c>
      <c r="D39" s="57" t="inlineStr">
        <is>
          <t>PCL</t>
        </is>
      </c>
      <c r="E39" s="57" t="inlineStr">
        <is>
          <t>(100) TABUKAN UTARA</t>
        </is>
      </c>
      <c r="F39" s="58" t="n">
        <v>327</v>
      </c>
      <c r="G39" s="58" t="n">
        <v>39</v>
      </c>
      <c r="H39" s="59">
        <f>F39+G39</f>
        <v/>
      </c>
      <c r="I39" s="60" t="n">
        <v>45</v>
      </c>
      <c r="J39" s="60" t="n">
        <v>17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45</v>
      </c>
      <c r="P39" s="64" t="n">
        <v>73</v>
      </c>
      <c r="Q39" s="65">
        <f>P39-O39</f>
        <v/>
      </c>
      <c r="R39" s="66" t="n">
        <v>17</v>
      </c>
      <c r="S39" s="66" t="n">
        <v>17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252</v>
      </c>
      <c r="Y39" s="69" t="n">
        <v>44</v>
      </c>
      <c r="Z39" s="70">
        <f>X39+Y39</f>
        <v/>
      </c>
      <c r="AA39" s="71" t="n">
        <v>207</v>
      </c>
      <c r="AB39" s="71" t="n">
        <v>27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Christian Megawe</t>
        </is>
      </c>
      <c r="C40" s="57" t="inlineStr">
        <is>
          <t>megawechristian@gmail.com</t>
        </is>
      </c>
      <c r="D40" s="57" t="inlineStr">
        <is>
          <t>PCL</t>
        </is>
      </c>
      <c r="E40" s="57" t="inlineStr">
        <is>
          <t>(050) TAMAKO</t>
        </is>
      </c>
      <c r="F40" s="58" t="n">
        <v>336</v>
      </c>
      <c r="G40" s="58" t="n">
        <v>32</v>
      </c>
      <c r="H40" s="59">
        <f>F40+G40</f>
        <v/>
      </c>
      <c r="I40" s="60" t="n">
        <v>44</v>
      </c>
      <c r="J40" s="60" t="n">
        <v>15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44</v>
      </c>
      <c r="P40" s="64" t="n">
        <v>71</v>
      </c>
      <c r="Q40" s="65">
        <f>P40-O40</f>
        <v/>
      </c>
      <c r="R40" s="66" t="n">
        <v>15</v>
      </c>
      <c r="S40" s="66" t="n">
        <v>10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263</v>
      </c>
      <c r="Y40" s="69" t="n">
        <v>34</v>
      </c>
      <c r="Z40" s="70">
        <f>X40+Y40</f>
        <v/>
      </c>
      <c r="AA40" s="71" t="n">
        <v>219</v>
      </c>
      <c r="AB40" s="71" t="n">
        <v>19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Virchow Keynes Sahabat</t>
        </is>
      </c>
      <c r="C41" s="57" t="inlineStr">
        <is>
          <t>keynessahabat@gmail.com</t>
        </is>
      </c>
      <c r="D41" s="57" t="inlineStr">
        <is>
          <t>PCL</t>
        </is>
      </c>
      <c r="E41" s="57" t="inlineStr">
        <is>
          <t>(050) TAMAKO</t>
        </is>
      </c>
      <c r="F41" s="58" t="n">
        <v>350</v>
      </c>
      <c r="G41" s="58" t="n">
        <v>36</v>
      </c>
      <c r="H41" s="59">
        <f>F41+G41</f>
        <v/>
      </c>
      <c r="I41" s="60" t="n">
        <v>26</v>
      </c>
      <c r="J41" s="60" t="n">
        <v>11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26</v>
      </c>
      <c r="P41" s="64" t="n">
        <v>31</v>
      </c>
      <c r="Q41" s="65">
        <f>P41-O41</f>
        <v/>
      </c>
      <c r="R41" s="66" t="n">
        <v>11</v>
      </c>
      <c r="S41" s="66" t="n">
        <v>7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284</v>
      </c>
      <c r="Y41" s="69" t="n">
        <v>24</v>
      </c>
      <c r="Z41" s="70">
        <f>X41+Y41</f>
        <v/>
      </c>
      <c r="AA41" s="71" t="n">
        <v>258</v>
      </c>
      <c r="AB41" s="71" t="n">
        <v>13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Andini Safitri Makaminan</t>
        </is>
      </c>
      <c r="C42" s="57" t="inlineStr">
        <is>
          <t>andinimakaminan98@gmail.com</t>
        </is>
      </c>
      <c r="D42" s="57" t="inlineStr">
        <is>
          <t>PCL</t>
        </is>
      </c>
      <c r="E42" s="57" t="inlineStr">
        <is>
          <t>(100) TABUKAN UTARA</t>
        </is>
      </c>
      <c r="F42" s="58" t="n">
        <v>306</v>
      </c>
      <c r="G42" s="58" t="n">
        <v>55</v>
      </c>
      <c r="H42" s="59">
        <f>F42+G42</f>
        <v/>
      </c>
      <c r="I42" s="60" t="n">
        <v>54</v>
      </c>
      <c r="J42" s="60" t="n">
        <v>32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54</v>
      </c>
      <c r="P42" s="64" t="n">
        <v>37</v>
      </c>
      <c r="Q42" s="65">
        <f>P42-O42</f>
        <v/>
      </c>
      <c r="R42" s="66" t="n">
        <v>32</v>
      </c>
      <c r="S42" s="66" t="n">
        <v>3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241</v>
      </c>
      <c r="Y42" s="69" t="n">
        <v>47</v>
      </c>
      <c r="Z42" s="70">
        <f>X42+Y42</f>
        <v/>
      </c>
      <c r="AA42" s="71" t="n">
        <v>187</v>
      </c>
      <c r="AB42" s="71" t="n">
        <v>15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Meyilandriane Herung</t>
        </is>
      </c>
      <c r="C43" s="57" t="inlineStr">
        <is>
          <t>meylandriane1@gmail.com</t>
        </is>
      </c>
      <c r="D43" s="57" t="inlineStr">
        <is>
          <t>PCL</t>
        </is>
      </c>
      <c r="E43" s="57" t="inlineStr">
        <is>
          <t>(061) TABUKAN SELATAN TENGAH</t>
        </is>
      </c>
      <c r="F43" s="58" t="n">
        <v>284</v>
      </c>
      <c r="G43" s="58" t="n">
        <v>17</v>
      </c>
      <c r="H43" s="59">
        <f>F43+G43</f>
        <v/>
      </c>
      <c r="I43" s="60" t="n">
        <v>25</v>
      </c>
      <c r="J43" s="60" t="n">
        <v>2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25</v>
      </c>
      <c r="P43" s="64" t="n">
        <v>22</v>
      </c>
      <c r="Q43" s="65">
        <f>P43-O43</f>
        <v/>
      </c>
      <c r="R43" s="66" t="n">
        <v>2</v>
      </c>
      <c r="S43" s="66" t="n">
        <v>0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232</v>
      </c>
      <c r="Y43" s="69" t="n">
        <v>7</v>
      </c>
      <c r="Z43" s="70">
        <f>X43+Y43</f>
        <v/>
      </c>
      <c r="AA43" s="71" t="n">
        <v>207</v>
      </c>
      <c r="AB43" s="71" t="n">
        <v>5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Rofia Pandawa</t>
        </is>
      </c>
      <c r="C44" s="57" t="inlineStr">
        <is>
          <t>fiapandawa339@gmail.com</t>
        </is>
      </c>
      <c r="D44" s="57" t="inlineStr">
        <is>
          <t>PCL</t>
        </is>
      </c>
      <c r="E44" s="57" t="inlineStr">
        <is>
          <t>(100) TABUKAN UTARA</t>
        </is>
      </c>
      <c r="F44" s="58" t="n">
        <v>317</v>
      </c>
      <c r="G44" s="58" t="n">
        <v>14</v>
      </c>
      <c r="H44" s="59">
        <f>F44+G44</f>
        <v/>
      </c>
      <c r="I44" s="60" t="n">
        <v>54</v>
      </c>
      <c r="J44" s="60" t="n">
        <v>6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54</v>
      </c>
      <c r="P44" s="64" t="n">
        <v>43</v>
      </c>
      <c r="Q44" s="65">
        <f>P44-O44</f>
        <v/>
      </c>
      <c r="R44" s="66" t="n">
        <v>6</v>
      </c>
      <c r="S44" s="66" t="n">
        <v>7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245</v>
      </c>
      <c r="Y44" s="69" t="n">
        <v>17</v>
      </c>
      <c r="Z44" s="70">
        <f>X44+Y44</f>
        <v/>
      </c>
      <c r="AA44" s="71" t="n">
        <v>191</v>
      </c>
      <c r="AB44" s="71" t="n">
        <v>11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Ruslan Ginoga</t>
        </is>
      </c>
      <c r="C45" s="57" t="inlineStr">
        <is>
          <t>ruslanginoga82@gmail.com</t>
        </is>
      </c>
      <c r="D45" s="57" t="inlineStr">
        <is>
          <t>PCL</t>
        </is>
      </c>
      <c r="E45" s="57" t="inlineStr">
        <is>
          <t>(101) NUSA TABUKAN</t>
        </is>
      </c>
      <c r="F45" s="58" t="n">
        <v>315</v>
      </c>
      <c r="G45" s="58" t="n">
        <v>4</v>
      </c>
      <c r="H45" s="59">
        <f>F45+G45</f>
        <v/>
      </c>
      <c r="I45" s="60" t="n">
        <v>12</v>
      </c>
      <c r="J45" s="60" t="n">
        <v>0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12</v>
      </c>
      <c r="P45" s="64" t="n">
        <v>33</v>
      </c>
      <c r="Q45" s="65">
        <f>P45-O45</f>
        <v/>
      </c>
      <c r="R45" s="66" t="n">
        <v>0</v>
      </c>
      <c r="S45" s="66" t="n">
        <v>0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251</v>
      </c>
      <c r="Y45" s="69" t="n">
        <v>1</v>
      </c>
      <c r="Z45" s="70">
        <f>X45+Y45</f>
        <v/>
      </c>
      <c r="AA45" s="71" t="n">
        <v>239</v>
      </c>
      <c r="AB45" s="71" t="n">
        <v>1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Jeklin Andris</t>
        </is>
      </c>
      <c r="C46" s="57" t="inlineStr">
        <is>
          <t>jeklinandris98@gmail.com</t>
        </is>
      </c>
      <c r="D46" s="57" t="inlineStr">
        <is>
          <t>PCL</t>
        </is>
      </c>
      <c r="E46" s="57" t="inlineStr">
        <is>
          <t>(040) MANGANITU SELATAN</t>
        </is>
      </c>
      <c r="F46" s="58" t="n">
        <v>325</v>
      </c>
      <c r="G46" s="58" t="n">
        <v>53</v>
      </c>
      <c r="H46" s="59">
        <f>F46+G46</f>
        <v/>
      </c>
      <c r="I46" s="60" t="n">
        <v>21</v>
      </c>
      <c r="J46" s="60" t="n">
        <v>23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21</v>
      </c>
      <c r="P46" s="64" t="n">
        <v>29</v>
      </c>
      <c r="Q46" s="65">
        <f>P46-O46</f>
        <v/>
      </c>
      <c r="R46" s="66" t="n">
        <v>23</v>
      </c>
      <c r="S46" s="66" t="n">
        <v>22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236</v>
      </c>
      <c r="Y46" s="69" t="n">
        <v>62</v>
      </c>
      <c r="Z46" s="70">
        <f>X46+Y46</f>
        <v/>
      </c>
      <c r="AA46" s="71" t="n">
        <v>215</v>
      </c>
      <c r="AB46" s="71" t="n">
        <v>39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Hasrita Hamenda</t>
        </is>
      </c>
      <c r="C47" s="57" t="inlineStr">
        <is>
          <t>hamendahasrita@gmail.com</t>
        </is>
      </c>
      <c r="D47" s="57" t="inlineStr">
        <is>
          <t>PCL</t>
        </is>
      </c>
      <c r="E47" s="57" t="inlineStr">
        <is>
          <t>(100) TABUKAN UTARA</t>
        </is>
      </c>
      <c r="F47" s="58" t="n">
        <v>322</v>
      </c>
      <c r="G47" s="58" t="n">
        <v>32</v>
      </c>
      <c r="H47" s="59">
        <f>F47+G47</f>
        <v/>
      </c>
      <c r="I47" s="60" t="n">
        <v>36</v>
      </c>
      <c r="J47" s="60" t="n">
        <v>9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36</v>
      </c>
      <c r="P47" s="64" t="n">
        <v>53</v>
      </c>
      <c r="Q47" s="65">
        <f>P47-O47</f>
        <v/>
      </c>
      <c r="R47" s="66" t="n">
        <v>9</v>
      </c>
      <c r="S47" s="66" t="n">
        <v>5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256</v>
      </c>
      <c r="Y47" s="69" t="n">
        <v>23</v>
      </c>
      <c r="Z47" s="70">
        <f>X47+Y47</f>
        <v/>
      </c>
      <c r="AA47" s="71" t="n">
        <v>220</v>
      </c>
      <c r="AB47" s="71" t="n">
        <v>14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Tia Ivanca Christy Pangandaheng</t>
        </is>
      </c>
      <c r="C48" s="57" t="inlineStr">
        <is>
          <t>pngndhngtia@gmail.com</t>
        </is>
      </c>
      <c r="D48" s="57" t="inlineStr">
        <is>
          <t>PCL</t>
        </is>
      </c>
      <c r="E48" s="57" t="inlineStr">
        <is>
          <t>(060) TABUKAN SELATAN</t>
        </is>
      </c>
      <c r="F48" s="58" t="n">
        <v>289</v>
      </c>
      <c r="G48" s="58" t="n">
        <v>24</v>
      </c>
      <c r="H48" s="59">
        <f>F48+G48</f>
        <v/>
      </c>
      <c r="I48" s="60" t="n">
        <v>49</v>
      </c>
      <c r="J48" s="60" t="n">
        <v>16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49</v>
      </c>
      <c r="P48" s="64" t="n">
        <v>55</v>
      </c>
      <c r="Q48" s="65">
        <f>P48-O48</f>
        <v/>
      </c>
      <c r="R48" s="66" t="n">
        <v>16</v>
      </c>
      <c r="S48" s="66" t="n">
        <v>4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225</v>
      </c>
      <c r="Y48" s="69" t="n">
        <v>21</v>
      </c>
      <c r="Z48" s="70">
        <f>X48+Y48</f>
        <v/>
      </c>
      <c r="AA48" s="71" t="n">
        <v>176</v>
      </c>
      <c r="AB48" s="71" t="n">
        <v>5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Maknany Sasiang</t>
        </is>
      </c>
      <c r="C49" s="57" t="inlineStr">
        <is>
          <t>maknany.sasiang@gmail.com</t>
        </is>
      </c>
      <c r="D49" s="57" t="inlineStr">
        <is>
          <t>PCL</t>
        </is>
      </c>
      <c r="E49" s="57" t="inlineStr">
        <is>
          <t>(090) TAHUNA</t>
        </is>
      </c>
      <c r="F49" s="58" t="n">
        <v>292</v>
      </c>
      <c r="G49" s="58" t="n">
        <v>81</v>
      </c>
      <c r="H49" s="59">
        <f>F49+G49</f>
        <v/>
      </c>
      <c r="I49" s="60" t="n">
        <v>59</v>
      </c>
      <c r="J49" s="60" t="n">
        <v>22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59</v>
      </c>
      <c r="P49" s="64" t="n">
        <v>16</v>
      </c>
      <c r="Q49" s="65">
        <f>P49-O49</f>
        <v/>
      </c>
      <c r="R49" s="66" t="n">
        <v>22</v>
      </c>
      <c r="S49" s="66" t="n">
        <v>14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236</v>
      </c>
      <c r="Y49" s="69" t="n">
        <v>56</v>
      </c>
      <c r="Z49" s="70">
        <f>X49+Y49</f>
        <v/>
      </c>
      <c r="AA49" s="71" t="n">
        <v>177</v>
      </c>
      <c r="AB49" s="71" t="n">
        <v>34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Yosua Bawembang</t>
        </is>
      </c>
      <c r="C50" s="57" t="inlineStr">
        <is>
          <t>ybawembang@gmail.com</t>
        </is>
      </c>
      <c r="D50" s="57" t="inlineStr">
        <is>
          <t>PCL</t>
        </is>
      </c>
      <c r="E50" s="57" t="inlineStr">
        <is>
          <t>(040) MANGANITU SELATAN</t>
        </is>
      </c>
      <c r="F50" s="58" t="n">
        <v>283</v>
      </c>
      <c r="G50" s="58" t="n">
        <v>108</v>
      </c>
      <c r="H50" s="59">
        <f>F50+G50</f>
        <v/>
      </c>
      <c r="I50" s="60" t="n">
        <v>45</v>
      </c>
      <c r="J50" s="60" t="n">
        <v>19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45</v>
      </c>
      <c r="P50" s="64" t="n">
        <v>16</v>
      </c>
      <c r="Q50" s="65">
        <f>P50-O50</f>
        <v/>
      </c>
      <c r="R50" s="66" t="n">
        <v>19</v>
      </c>
      <c r="S50" s="66" t="n">
        <v>14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241</v>
      </c>
      <c r="Y50" s="69" t="n">
        <v>65</v>
      </c>
      <c r="Z50" s="70">
        <f>X50+Y50</f>
        <v/>
      </c>
      <c r="AA50" s="71" t="n">
        <v>196</v>
      </c>
      <c r="AB50" s="71" t="n">
        <v>46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Sigfried Erik Hontong</t>
        </is>
      </c>
      <c r="C51" s="57" t="inlineStr">
        <is>
          <t>eriksigfried@gmail.com</t>
        </is>
      </c>
      <c r="D51" s="57" t="inlineStr">
        <is>
          <t>PCL</t>
        </is>
      </c>
      <c r="E51" s="57" t="inlineStr">
        <is>
          <t>(040) MANGANITU SELATAN</t>
        </is>
      </c>
      <c r="F51" s="58" t="n">
        <v>303</v>
      </c>
      <c r="G51" s="58" t="n">
        <v>124</v>
      </c>
      <c r="H51" s="59">
        <f>F51+G51</f>
        <v/>
      </c>
      <c r="I51" s="60" t="n">
        <v>44</v>
      </c>
      <c r="J51" s="60" t="n">
        <v>24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44</v>
      </c>
      <c r="P51" s="64" t="n">
        <v>105</v>
      </c>
      <c r="Q51" s="65">
        <f>P51-O51</f>
        <v/>
      </c>
      <c r="R51" s="66" t="n">
        <v>24</v>
      </c>
      <c r="S51" s="66" t="n">
        <v>6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294</v>
      </c>
      <c r="Y51" s="69" t="n">
        <v>40</v>
      </c>
      <c r="Z51" s="70">
        <f>X51+Y51</f>
        <v/>
      </c>
      <c r="AA51" s="71" t="n">
        <v>250</v>
      </c>
      <c r="AB51" s="71" t="n">
        <v>16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Sintike Susanti Meling Horman</t>
        </is>
      </c>
      <c r="C52" s="57" t="inlineStr">
        <is>
          <t>hshyntike@gmail.com</t>
        </is>
      </c>
      <c r="D52" s="57" t="inlineStr">
        <is>
          <t>PCL</t>
        </is>
      </c>
      <c r="E52" s="57" t="inlineStr">
        <is>
          <t>(061) TABUKAN SELATAN TENGAH &amp; (062) TABUKAN SELATAN TENGGARA</t>
        </is>
      </c>
      <c r="F52" s="58" t="n">
        <v>269</v>
      </c>
      <c r="G52" s="58" t="n">
        <v>8</v>
      </c>
      <c r="H52" s="59">
        <f>F52+G52</f>
        <v/>
      </c>
      <c r="I52" s="60" t="n">
        <v>36</v>
      </c>
      <c r="J52" s="60" t="n">
        <v>3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36</v>
      </c>
      <c r="P52" s="64" t="n">
        <v>73</v>
      </c>
      <c r="Q52" s="65">
        <f>P52-O52</f>
        <v/>
      </c>
      <c r="R52" s="66" t="n">
        <v>3</v>
      </c>
      <c r="S52" s="66" t="n">
        <v>7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204</v>
      </c>
      <c r="Y52" s="69" t="n">
        <v>12</v>
      </c>
      <c r="Z52" s="70">
        <f>X52+Y52</f>
        <v/>
      </c>
      <c r="AA52" s="71" t="n">
        <v>168</v>
      </c>
      <c r="AB52" s="71" t="n">
        <v>9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Muvidah Kaehe</t>
        </is>
      </c>
      <c r="C53" s="57" t="inlineStr">
        <is>
          <t>kaehemuvidah@gmail.com</t>
        </is>
      </c>
      <c r="D53" s="57" t="inlineStr">
        <is>
          <t>PCL</t>
        </is>
      </c>
      <c r="E53" s="57" t="inlineStr">
        <is>
          <t>(100) TABUKAN UTARA</t>
        </is>
      </c>
      <c r="F53" s="58" t="n">
        <v>266</v>
      </c>
      <c r="G53" s="58" t="n">
        <v>31</v>
      </c>
      <c r="H53" s="59">
        <f>F53+G53</f>
        <v/>
      </c>
      <c r="I53" s="60" t="n">
        <v>19</v>
      </c>
      <c r="J53" s="60" t="n">
        <v>16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19</v>
      </c>
      <c r="P53" s="64" t="n">
        <v>95</v>
      </c>
      <c r="Q53" s="65">
        <f>P53-O53</f>
        <v/>
      </c>
      <c r="R53" s="66" t="n">
        <v>16</v>
      </c>
      <c r="S53" s="66" t="n">
        <v>15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191</v>
      </c>
      <c r="Y53" s="69" t="n">
        <v>40</v>
      </c>
      <c r="Z53" s="70">
        <f>X53+Y53</f>
        <v/>
      </c>
      <c r="AA53" s="71" t="n">
        <v>172</v>
      </c>
      <c r="AB53" s="71" t="n">
        <v>24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Amna Maneking</t>
        </is>
      </c>
      <c r="C54" s="57" t="inlineStr">
        <is>
          <t>amnamaneking@gmail.com</t>
        </is>
      </c>
      <c r="D54" s="57" t="inlineStr">
        <is>
          <t>PCL</t>
        </is>
      </c>
      <c r="E54" s="57" t="inlineStr">
        <is>
          <t>(100) TABUKAN UTARA</t>
        </is>
      </c>
      <c r="F54" s="58" t="n">
        <v>331</v>
      </c>
      <c r="G54" s="58" t="n">
        <v>53</v>
      </c>
      <c r="H54" s="59">
        <f>F54+G54</f>
        <v/>
      </c>
      <c r="I54" s="60" t="n">
        <v>39</v>
      </c>
      <c r="J54" s="60" t="n">
        <v>32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39</v>
      </c>
      <c r="P54" s="64" t="n">
        <v>40</v>
      </c>
      <c r="Q54" s="65">
        <f>P54-O54</f>
        <v/>
      </c>
      <c r="R54" s="66" t="n">
        <v>32</v>
      </c>
      <c r="S54" s="66" t="n">
        <v>12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239</v>
      </c>
      <c r="Y54" s="69" t="n">
        <v>57</v>
      </c>
      <c r="Z54" s="70">
        <f>X54+Y54</f>
        <v/>
      </c>
      <c r="AA54" s="71" t="n">
        <v>200</v>
      </c>
      <c r="AB54" s="71" t="n">
        <v>25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Don Albert Seimahuira</t>
        </is>
      </c>
      <c r="C55" s="57" t="inlineStr">
        <is>
          <t>ungkealbert39@gmail.com</t>
        </is>
      </c>
      <c r="D55" s="57" t="inlineStr">
        <is>
          <t>PCL</t>
        </is>
      </c>
      <c r="E55" s="57" t="inlineStr">
        <is>
          <t>(090) TAHUNA</t>
        </is>
      </c>
      <c r="F55" s="58" t="n">
        <v>337</v>
      </c>
      <c r="G55" s="58" t="n">
        <v>27</v>
      </c>
      <c r="H55" s="59">
        <f>F55+G55</f>
        <v/>
      </c>
      <c r="I55" s="60" t="n">
        <v>54</v>
      </c>
      <c r="J55" s="60" t="n">
        <v>6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54</v>
      </c>
      <c r="P55" s="64" t="n">
        <v>50</v>
      </c>
      <c r="Q55" s="65">
        <f>P55-O55</f>
        <v/>
      </c>
      <c r="R55" s="66" t="n">
        <v>6</v>
      </c>
      <c r="S55" s="66" t="n">
        <v>12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258</v>
      </c>
      <c r="Y55" s="69" t="n">
        <v>21</v>
      </c>
      <c r="Z55" s="70">
        <f>X55+Y55</f>
        <v/>
      </c>
      <c r="AA55" s="71" t="n">
        <v>204</v>
      </c>
      <c r="AB55" s="71" t="n">
        <v>15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Eugenia Ariani Tamakaenge</t>
        </is>
      </c>
      <c r="C56" s="57" t="inlineStr">
        <is>
          <t>eugeniaarianit@gmail.com</t>
        </is>
      </c>
      <c r="D56" s="57" t="inlineStr">
        <is>
          <t>PCL</t>
        </is>
      </c>
      <c r="E56" s="57" t="inlineStr">
        <is>
          <t>(092) TAHUNA BARAT</t>
        </is>
      </c>
      <c r="F56" s="58" t="n">
        <v>409</v>
      </c>
      <c r="G56" s="58" t="n">
        <v>49</v>
      </c>
      <c r="H56" s="59">
        <f>F56+G56</f>
        <v/>
      </c>
      <c r="I56" s="60" t="n">
        <v>56</v>
      </c>
      <c r="J56" s="60" t="n">
        <v>17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56</v>
      </c>
      <c r="P56" s="64" t="n">
        <v>16</v>
      </c>
      <c r="Q56" s="65">
        <f>P56-O56</f>
        <v/>
      </c>
      <c r="R56" s="66" t="n">
        <v>17</v>
      </c>
      <c r="S56" s="66" t="n">
        <v>4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312</v>
      </c>
      <c r="Y56" s="69" t="n">
        <v>37</v>
      </c>
      <c r="Z56" s="70">
        <f>X56+Y56</f>
        <v/>
      </c>
      <c r="AA56" s="71" t="n">
        <v>256</v>
      </c>
      <c r="AB56" s="71" t="n">
        <v>20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Asiantina Maniku</t>
        </is>
      </c>
      <c r="C57" s="57" t="inlineStr">
        <is>
          <t>iyanmaniku1@gmail.com</t>
        </is>
      </c>
      <c r="D57" s="57" t="inlineStr">
        <is>
          <t>PCL</t>
        </is>
      </c>
      <c r="E57" s="57" t="inlineStr">
        <is>
          <t>(100) TABUKAN UTARA</t>
        </is>
      </c>
      <c r="F57" s="58" t="n">
        <v>316</v>
      </c>
      <c r="G57" s="58" t="n">
        <v>35</v>
      </c>
      <c r="H57" s="59">
        <f>F57+G57</f>
        <v/>
      </c>
      <c r="I57" s="60" t="n">
        <v>75</v>
      </c>
      <c r="J57" s="60" t="n">
        <v>3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75</v>
      </c>
      <c r="P57" s="64" t="n">
        <v>40</v>
      </c>
      <c r="Q57" s="65">
        <f>P57-O57</f>
        <v/>
      </c>
      <c r="R57" s="66" t="n">
        <v>3</v>
      </c>
      <c r="S57" s="66" t="n">
        <v>1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262</v>
      </c>
      <c r="Y57" s="69" t="n">
        <v>5</v>
      </c>
      <c r="Z57" s="70">
        <f>X57+Y57</f>
        <v/>
      </c>
      <c r="AA57" s="71" t="n">
        <v>187</v>
      </c>
      <c r="AB57" s="71" t="n">
        <v>2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Misye Yosevin Pulumbara</t>
        </is>
      </c>
      <c r="C58" s="57" t="inlineStr">
        <is>
          <t>misye310580@gmail.com</t>
        </is>
      </c>
      <c r="D58" s="57" t="inlineStr">
        <is>
          <t>PCL</t>
        </is>
      </c>
      <c r="E58" s="57" t="inlineStr">
        <is>
          <t>(100) TABUKAN UTARA</t>
        </is>
      </c>
      <c r="F58" s="58" t="n">
        <v>363</v>
      </c>
      <c r="G58" s="58" t="n">
        <v>10</v>
      </c>
      <c r="H58" s="59">
        <f>F58+G58</f>
        <v/>
      </c>
      <c r="I58" s="60" t="n">
        <v>47</v>
      </c>
      <c r="J58" s="60" t="n">
        <v>8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47</v>
      </c>
      <c r="P58" s="64" t="n">
        <v>42</v>
      </c>
      <c r="Q58" s="65">
        <f>P58-O58</f>
        <v/>
      </c>
      <c r="R58" s="66" t="n">
        <v>8</v>
      </c>
      <c r="S58" s="66" t="n">
        <v>17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257</v>
      </c>
      <c r="Y58" s="69" t="n">
        <v>26</v>
      </c>
      <c r="Z58" s="70">
        <f>X58+Y58</f>
        <v/>
      </c>
      <c r="AA58" s="71" t="n">
        <v>210</v>
      </c>
      <c r="AB58" s="71" t="n">
        <v>18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Kesya Syalomita Pangeke</t>
        </is>
      </c>
      <c r="C59" s="57" t="inlineStr">
        <is>
          <t>kesyapangeke@gmail.com</t>
        </is>
      </c>
      <c r="D59" s="57" t="inlineStr">
        <is>
          <t>PCL</t>
        </is>
      </c>
      <c r="E59" s="57" t="inlineStr">
        <is>
          <t>(040) MANGANITU SELATAN</t>
        </is>
      </c>
      <c r="F59" s="58" t="n">
        <v>366</v>
      </c>
      <c r="G59" s="58" t="n">
        <v>44</v>
      </c>
      <c r="H59" s="59">
        <f>F59+G59</f>
        <v/>
      </c>
      <c r="I59" s="60" t="n">
        <v>48</v>
      </c>
      <c r="J59" s="60" t="n">
        <v>18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48</v>
      </c>
      <c r="P59" s="64" t="n">
        <v>37</v>
      </c>
      <c r="Q59" s="65">
        <f>P59-O59</f>
        <v/>
      </c>
      <c r="R59" s="66" t="n">
        <v>18</v>
      </c>
      <c r="S59" s="66" t="n">
        <v>2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274</v>
      </c>
      <c r="Y59" s="69" t="n">
        <v>37</v>
      </c>
      <c r="Z59" s="70">
        <f>X59+Y59</f>
        <v/>
      </c>
      <c r="AA59" s="71" t="n">
        <v>226</v>
      </c>
      <c r="AB59" s="71" t="n">
        <v>19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Claudia Angelia Adam</t>
        </is>
      </c>
      <c r="C60" s="57" t="inlineStr">
        <is>
          <t>adamclaudia06@gmail.com</t>
        </is>
      </c>
      <c r="D60" s="57" t="inlineStr">
        <is>
          <t>PCL</t>
        </is>
      </c>
      <c r="E60" s="57" t="inlineStr">
        <is>
          <t>(090) TAHUNA</t>
        </is>
      </c>
      <c r="F60" s="58" t="n">
        <v>338</v>
      </c>
      <c r="G60" s="58" t="n">
        <v>22</v>
      </c>
      <c r="H60" s="59">
        <f>F60+G60</f>
        <v/>
      </c>
      <c r="I60" s="60" t="n">
        <v>87</v>
      </c>
      <c r="J60" s="60" t="n">
        <v>10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87</v>
      </c>
      <c r="P60" s="64" t="n">
        <v>43</v>
      </c>
      <c r="Q60" s="65">
        <f>P60-O60</f>
        <v/>
      </c>
      <c r="R60" s="66" t="n">
        <v>10</v>
      </c>
      <c r="S60" s="66" t="n">
        <v>0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258</v>
      </c>
      <c r="Y60" s="69" t="n">
        <v>13</v>
      </c>
      <c r="Z60" s="70">
        <f>X60+Y60</f>
        <v/>
      </c>
      <c r="AA60" s="71" t="n">
        <v>171</v>
      </c>
      <c r="AB60" s="71" t="n">
        <v>3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Wahyudi Hapit</t>
        </is>
      </c>
      <c r="C61" s="57" t="inlineStr">
        <is>
          <t>hapitudhy@gmail.com</t>
        </is>
      </c>
      <c r="D61" s="57" t="inlineStr">
        <is>
          <t>PCL</t>
        </is>
      </c>
      <c r="E61" s="57" t="inlineStr">
        <is>
          <t>(091) TAHUNA TIMUR</t>
        </is>
      </c>
      <c r="F61" s="58" t="n">
        <v>377</v>
      </c>
      <c r="G61" s="58" t="n">
        <v>56</v>
      </c>
      <c r="H61" s="59">
        <f>F61+G61</f>
        <v/>
      </c>
      <c r="I61" s="60" t="n">
        <v>61</v>
      </c>
      <c r="J61" s="60" t="n">
        <v>12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61</v>
      </c>
      <c r="P61" s="64" t="n">
        <v>23</v>
      </c>
      <c r="Q61" s="65">
        <f>P61-O61</f>
        <v/>
      </c>
      <c r="R61" s="66" t="n">
        <v>12</v>
      </c>
      <c r="S61" s="66" t="n">
        <v>4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297</v>
      </c>
      <c r="Y61" s="69" t="n">
        <v>28</v>
      </c>
      <c r="Z61" s="70">
        <f>X61+Y61</f>
        <v/>
      </c>
      <c r="AA61" s="71" t="n">
        <v>236</v>
      </c>
      <c r="AB61" s="71" t="n">
        <v>16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Nicky Jacson Taidi</t>
        </is>
      </c>
      <c r="C62" s="57" t="inlineStr">
        <is>
          <t>nickytaidi1986@gmail.com</t>
        </is>
      </c>
      <c r="D62" s="57" t="inlineStr">
        <is>
          <t>PCL</t>
        </is>
      </c>
      <c r="E62" s="57" t="inlineStr">
        <is>
          <t>(050) TAMAKO</t>
        </is>
      </c>
      <c r="F62" s="58" t="n">
        <v>334</v>
      </c>
      <c r="G62" s="58" t="n">
        <v>18</v>
      </c>
      <c r="H62" s="59">
        <f>F62+G62</f>
        <v/>
      </c>
      <c r="I62" s="60" t="n">
        <v>44</v>
      </c>
      <c r="J62" s="60" t="n">
        <v>7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44</v>
      </c>
      <c r="P62" s="64" t="n">
        <v>33</v>
      </c>
      <c r="Q62" s="65">
        <f>P62-O62</f>
        <v/>
      </c>
      <c r="R62" s="66" t="n">
        <v>7</v>
      </c>
      <c r="S62" s="66" t="n">
        <v>3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248</v>
      </c>
      <c r="Y62" s="69" t="n">
        <v>14</v>
      </c>
      <c r="Z62" s="70">
        <f>X62+Y62</f>
        <v/>
      </c>
      <c r="AA62" s="71" t="n">
        <v>204</v>
      </c>
      <c r="AB62" s="71" t="n">
        <v>7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Linda Yunice Amal</t>
        </is>
      </c>
      <c r="C63" s="57" t="inlineStr">
        <is>
          <t>lindaamal24@gmail.com</t>
        </is>
      </c>
      <c r="D63" s="57" t="inlineStr">
        <is>
          <t>PCL</t>
        </is>
      </c>
      <c r="E63" s="57" t="inlineStr">
        <is>
          <t>(070) TABUKAN TENGAH</t>
        </is>
      </c>
      <c r="F63" s="58" t="n">
        <v>288</v>
      </c>
      <c r="G63" s="58" t="n">
        <v>22</v>
      </c>
      <c r="H63" s="59">
        <f>F63+G63</f>
        <v/>
      </c>
      <c r="I63" s="60" t="n">
        <v>83</v>
      </c>
      <c r="J63" s="60" t="n">
        <v>10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83</v>
      </c>
      <c r="P63" s="64" t="n">
        <v>28</v>
      </c>
      <c r="Q63" s="65">
        <f>P63-O63</f>
        <v/>
      </c>
      <c r="R63" s="66" t="n">
        <v>10</v>
      </c>
      <c r="S63" s="66" t="n">
        <v>8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205</v>
      </c>
      <c r="Y63" s="69" t="n">
        <v>23</v>
      </c>
      <c r="Z63" s="70">
        <f>X63+Y63</f>
        <v/>
      </c>
      <c r="AA63" s="71" t="n">
        <v>122</v>
      </c>
      <c r="AB63" s="71" t="n">
        <v>13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Ambrosius Tampi Tangkabiringan</t>
        </is>
      </c>
      <c r="C64" s="57" t="inlineStr">
        <is>
          <t>tangkabiringanayen70@gmail.com</t>
        </is>
      </c>
      <c r="D64" s="57" t="inlineStr">
        <is>
          <t>PCL</t>
        </is>
      </c>
      <c r="E64" s="57" t="inlineStr">
        <is>
          <t>(090) TAHUNA</t>
        </is>
      </c>
      <c r="F64" s="58" t="n">
        <v>201</v>
      </c>
      <c r="G64" s="58" t="n">
        <v>178</v>
      </c>
      <c r="H64" s="59">
        <f>F64+G64</f>
        <v/>
      </c>
      <c r="I64" s="60" t="n">
        <v>30</v>
      </c>
      <c r="J64" s="60" t="n">
        <v>7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30</v>
      </c>
      <c r="P64" s="64" t="n">
        <v>33</v>
      </c>
      <c r="Q64" s="65">
        <f>P64-O64</f>
        <v/>
      </c>
      <c r="R64" s="66" t="n">
        <v>7</v>
      </c>
      <c r="S64" s="66" t="n">
        <v>79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153</v>
      </c>
      <c r="Y64" s="69" t="n">
        <v>125</v>
      </c>
      <c r="Z64" s="70">
        <f>X64+Y64</f>
        <v/>
      </c>
      <c r="AA64" s="71" t="n">
        <v>123</v>
      </c>
      <c r="AB64" s="71" t="n">
        <v>118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Rachmawati Kampi</t>
        </is>
      </c>
      <c r="C65" s="57" t="inlineStr">
        <is>
          <t>tikamustika1704@gmail.com</t>
        </is>
      </c>
      <c r="D65" s="57" t="inlineStr">
        <is>
          <t>PCL</t>
        </is>
      </c>
      <c r="E65" s="57" t="inlineStr">
        <is>
          <t>(091) TAHUNA TIMUR</t>
        </is>
      </c>
      <c r="F65" s="58" t="n">
        <v>395</v>
      </c>
      <c r="G65" s="58" t="n">
        <v>47</v>
      </c>
      <c r="H65" s="59">
        <f>F65+G65</f>
        <v/>
      </c>
      <c r="I65" s="60" t="n">
        <v>81</v>
      </c>
      <c r="J65" s="60" t="n">
        <v>21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81</v>
      </c>
      <c r="P65" s="64" t="n">
        <v>31</v>
      </c>
      <c r="Q65" s="65">
        <f>P65-O65</f>
        <v/>
      </c>
      <c r="R65" s="66" t="n">
        <v>21</v>
      </c>
      <c r="S65" s="66" t="n">
        <v>18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278</v>
      </c>
      <c r="Y65" s="69" t="n">
        <v>46</v>
      </c>
      <c r="Z65" s="70">
        <f>X65+Y65</f>
        <v/>
      </c>
      <c r="AA65" s="71" t="n">
        <v>197</v>
      </c>
      <c r="AB65" s="71" t="n">
        <v>25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Roberto Lahapo</t>
        </is>
      </c>
      <c r="C66" s="57" t="inlineStr">
        <is>
          <t>robertolahapo@gmail.com</t>
        </is>
      </c>
      <c r="D66" s="57" t="inlineStr">
        <is>
          <t>PCL</t>
        </is>
      </c>
      <c r="E66" s="57" t="inlineStr">
        <is>
          <t>(050) TAMAKO</t>
        </is>
      </c>
      <c r="F66" s="58" t="n">
        <v>328</v>
      </c>
      <c r="G66" s="58" t="n">
        <v>34</v>
      </c>
      <c r="H66" s="59">
        <f>F66+G66</f>
        <v/>
      </c>
      <c r="I66" s="60" t="n">
        <v>53</v>
      </c>
      <c r="J66" s="60" t="n">
        <v>7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53</v>
      </c>
      <c r="P66" s="64" t="n">
        <v>56</v>
      </c>
      <c r="Q66" s="65">
        <f>P66-O66</f>
        <v/>
      </c>
      <c r="R66" s="66" t="n">
        <v>7</v>
      </c>
      <c r="S66" s="66" t="n">
        <v>8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237</v>
      </c>
      <c r="Y66" s="69" t="n">
        <v>28</v>
      </c>
      <c r="Z66" s="70">
        <f>X66+Y66</f>
        <v/>
      </c>
      <c r="AA66" s="71" t="n">
        <v>184</v>
      </c>
      <c r="AB66" s="71" t="n">
        <v>21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Septian Sulaiman</t>
        </is>
      </c>
      <c r="C67" s="57" t="inlineStr">
        <is>
          <t>tianfirnanda16@gmail.com</t>
        </is>
      </c>
      <c r="D67" s="57" t="inlineStr">
        <is>
          <t>PCL</t>
        </is>
      </c>
      <c r="E67" s="57" t="inlineStr">
        <is>
          <t>(091) TAHUNA TIMUR</t>
        </is>
      </c>
      <c r="F67" s="58" t="n">
        <v>391</v>
      </c>
      <c r="G67" s="58" t="n">
        <v>61</v>
      </c>
      <c r="H67" s="59">
        <f>F67+G67</f>
        <v/>
      </c>
      <c r="I67" s="60" t="n">
        <v>53</v>
      </c>
      <c r="J67" s="60" t="n">
        <v>17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53</v>
      </c>
      <c r="P67" s="64" t="n">
        <v>24</v>
      </c>
      <c r="Q67" s="65">
        <f>P67-O67</f>
        <v/>
      </c>
      <c r="R67" s="66" t="n">
        <v>17</v>
      </c>
      <c r="S67" s="66" t="n">
        <v>3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291</v>
      </c>
      <c r="Y67" s="69" t="n">
        <v>38</v>
      </c>
      <c r="Z67" s="70">
        <f>X67+Y67</f>
        <v/>
      </c>
      <c r="AA67" s="71" t="n">
        <v>238</v>
      </c>
      <c r="AB67" s="71" t="n">
        <v>21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Titien Kurniawati Lamorahan</t>
        </is>
      </c>
      <c r="C68" s="57" t="inlineStr">
        <is>
          <t>lamorahantitien@gmail.com</t>
        </is>
      </c>
      <c r="D68" s="57" t="inlineStr">
        <is>
          <t>PCL</t>
        </is>
      </c>
      <c r="E68" s="57" t="inlineStr">
        <is>
          <t>(061) TABUKAN SELATAN TENGAH</t>
        </is>
      </c>
      <c r="F68" s="58" t="n">
        <v>236</v>
      </c>
      <c r="G68" s="58" t="n">
        <v>60</v>
      </c>
      <c r="H68" s="59">
        <f>F68+G68</f>
        <v/>
      </c>
      <c r="I68" s="60" t="n">
        <v>41</v>
      </c>
      <c r="J68" s="60" t="n">
        <v>19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41</v>
      </c>
      <c r="P68" s="64" t="n">
        <v>22</v>
      </c>
      <c r="Q68" s="65">
        <f>P68-O68</f>
        <v/>
      </c>
      <c r="R68" s="66" t="n">
        <v>19</v>
      </c>
      <c r="S68" s="66" t="n">
        <v>6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164</v>
      </c>
      <c r="Y68" s="69" t="n">
        <v>48</v>
      </c>
      <c r="Z68" s="70">
        <f>X68+Y68</f>
        <v/>
      </c>
      <c r="AA68" s="71" t="n">
        <v>123</v>
      </c>
      <c r="AB68" s="71" t="n">
        <v>29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Voni Fience Sarah Dien</t>
        </is>
      </c>
      <c r="C69" s="57" t="inlineStr">
        <is>
          <t>dienvoni@gmail.com</t>
        </is>
      </c>
      <c r="D69" s="57" t="inlineStr">
        <is>
          <t>PCL</t>
        </is>
      </c>
      <c r="E69" s="57" t="inlineStr">
        <is>
          <t>(110) KENDAHE</t>
        </is>
      </c>
      <c r="F69" s="58" t="n">
        <v>389</v>
      </c>
      <c r="G69" s="58" t="n">
        <v>54</v>
      </c>
      <c r="H69" s="59">
        <f>F69+G69</f>
        <v/>
      </c>
      <c r="I69" s="60" t="n">
        <v>65</v>
      </c>
      <c r="J69" s="60" t="n">
        <v>16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65</v>
      </c>
      <c r="P69" s="64" t="n">
        <v>31</v>
      </c>
      <c r="Q69" s="65">
        <f>P69-O69</f>
        <v/>
      </c>
      <c r="R69" s="66" t="n">
        <v>16</v>
      </c>
      <c r="S69" s="66" t="n">
        <v>27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255</v>
      </c>
      <c r="Y69" s="69" t="n">
        <v>61</v>
      </c>
      <c r="Z69" s="70">
        <f>X69+Y69</f>
        <v/>
      </c>
      <c r="AA69" s="71" t="n">
        <v>190</v>
      </c>
      <c r="AB69" s="71" t="n">
        <v>45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Muhamad Fadly Djafar</t>
        </is>
      </c>
      <c r="C70" s="57" t="inlineStr">
        <is>
          <t>tentangsangihe@gmail.com</t>
        </is>
      </c>
      <c r="D70" s="57" t="inlineStr">
        <is>
          <t>PCL</t>
        </is>
      </c>
      <c r="E70" s="57" t="inlineStr">
        <is>
          <t>(110) KENDAHE</t>
        </is>
      </c>
      <c r="F70" s="58" t="n">
        <v>344</v>
      </c>
      <c r="G70" s="58" t="n">
        <v>64</v>
      </c>
      <c r="H70" s="59">
        <f>F70+G70</f>
        <v/>
      </c>
      <c r="I70" s="60" t="n">
        <v>26</v>
      </c>
      <c r="J70" s="60" t="n">
        <v>14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26</v>
      </c>
      <c r="P70" s="64" t="n">
        <v>26</v>
      </c>
      <c r="Q70" s="65">
        <f>P70-O70</f>
        <v/>
      </c>
      <c r="R70" s="66" t="n">
        <v>14</v>
      </c>
      <c r="S70" s="66" t="n">
        <v>2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259</v>
      </c>
      <c r="Y70" s="69" t="n">
        <v>32</v>
      </c>
      <c r="Z70" s="70">
        <f>X70+Y70</f>
        <v/>
      </c>
      <c r="AA70" s="71" t="n">
        <v>233</v>
      </c>
      <c r="AB70" s="71" t="n">
        <v>18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Erin Fernanda Wenas</t>
        </is>
      </c>
      <c r="C71" s="57" t="inlineStr">
        <is>
          <t>wenaserin@gmail.com</t>
        </is>
      </c>
      <c r="D71" s="57" t="inlineStr">
        <is>
          <t>PCL</t>
        </is>
      </c>
      <c r="E71" s="57" t="inlineStr">
        <is>
          <t>(090) TAHUNA</t>
        </is>
      </c>
      <c r="F71" s="58" t="n">
        <v>324</v>
      </c>
      <c r="G71" s="58" t="n">
        <v>58</v>
      </c>
      <c r="H71" s="59">
        <f>F71+G71</f>
        <v/>
      </c>
      <c r="I71" s="60" t="n">
        <v>63</v>
      </c>
      <c r="J71" s="60" t="n">
        <v>21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63</v>
      </c>
      <c r="P71" s="64" t="n">
        <v>50</v>
      </c>
      <c r="Q71" s="65">
        <f>P71-O71</f>
        <v/>
      </c>
      <c r="R71" s="66" t="n">
        <v>21</v>
      </c>
      <c r="S71" s="66" t="n">
        <v>19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222</v>
      </c>
      <c r="Y71" s="69" t="n">
        <v>50</v>
      </c>
      <c r="Z71" s="70">
        <f>X71+Y71</f>
        <v/>
      </c>
      <c r="AA71" s="71" t="n">
        <v>159</v>
      </c>
      <c r="AB71" s="71" t="n">
        <v>29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Novianty Key</t>
        </is>
      </c>
      <c r="C72" s="57" t="inlineStr">
        <is>
          <t>noviantykey5@gmail.com</t>
        </is>
      </c>
      <c r="D72" s="57" t="inlineStr">
        <is>
          <t>PCL</t>
        </is>
      </c>
      <c r="E72" s="57" t="inlineStr">
        <is>
          <t>(100) TABUKAN UTARA</t>
        </is>
      </c>
      <c r="F72" s="58" t="n">
        <v>321</v>
      </c>
      <c r="G72" s="58" t="n">
        <v>33</v>
      </c>
      <c r="H72" s="59">
        <f>F72+G72</f>
        <v/>
      </c>
      <c r="I72" s="60" t="n">
        <v>29</v>
      </c>
      <c r="J72" s="60" t="n">
        <v>17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29</v>
      </c>
      <c r="P72" s="64" t="n">
        <v>52</v>
      </c>
      <c r="Q72" s="65">
        <f>P72-O72</f>
        <v/>
      </c>
      <c r="R72" s="66" t="n">
        <v>17</v>
      </c>
      <c r="S72" s="66" t="n">
        <v>10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218</v>
      </c>
      <c r="Y72" s="69" t="n">
        <v>34</v>
      </c>
      <c r="Z72" s="70">
        <f>X72+Y72</f>
        <v/>
      </c>
      <c r="AA72" s="71" t="n">
        <v>189</v>
      </c>
      <c r="AB72" s="71" t="n">
        <v>17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Nur Alifah Kasilialang</t>
        </is>
      </c>
      <c r="C73" s="57" t="inlineStr">
        <is>
          <t>kasilialangnuralifah@gmail.com</t>
        </is>
      </c>
      <c r="D73" s="57" t="inlineStr">
        <is>
          <t>PCL</t>
        </is>
      </c>
      <c r="E73" s="57" t="inlineStr">
        <is>
          <t>(110) KENDAHE</t>
        </is>
      </c>
      <c r="F73" s="58" t="n">
        <v>402</v>
      </c>
      <c r="G73" s="58" t="n">
        <v>34</v>
      </c>
      <c r="H73" s="59">
        <f>F73+G73</f>
        <v/>
      </c>
      <c r="I73" s="60" t="n">
        <v>51</v>
      </c>
      <c r="J73" s="60" t="n">
        <v>12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51</v>
      </c>
      <c r="P73" s="64" t="n">
        <v>54</v>
      </c>
      <c r="Q73" s="65">
        <f>P73-O73</f>
        <v/>
      </c>
      <c r="R73" s="66" t="n">
        <v>12</v>
      </c>
      <c r="S73" s="66" t="n">
        <v>8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284</v>
      </c>
      <c r="Y73" s="69" t="n">
        <v>24</v>
      </c>
      <c r="Z73" s="70">
        <f>X73+Y73</f>
        <v/>
      </c>
      <c r="AA73" s="71" t="n">
        <v>233</v>
      </c>
      <c r="AB73" s="71" t="n">
        <v>12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Nofri Markus Taidi</t>
        </is>
      </c>
      <c r="C74" s="57" t="inlineStr">
        <is>
          <t>nofritaidi@gmail.com</t>
        </is>
      </c>
      <c r="D74" s="57" t="inlineStr">
        <is>
          <t>PCL</t>
        </is>
      </c>
      <c r="E74" s="57" t="inlineStr">
        <is>
          <t>(041) TATOARENG</t>
        </is>
      </c>
      <c r="F74" s="58" t="n">
        <v>240</v>
      </c>
      <c r="G74" s="58" t="n">
        <v>65</v>
      </c>
      <c r="H74" s="59">
        <f>F74+G74</f>
        <v/>
      </c>
      <c r="I74" s="60" t="n">
        <v>43</v>
      </c>
      <c r="J74" s="60" t="n">
        <v>19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43</v>
      </c>
      <c r="P74" s="64" t="n">
        <v>2</v>
      </c>
      <c r="Q74" s="65">
        <f>P74-O74</f>
        <v/>
      </c>
      <c r="R74" s="66" t="n">
        <v>19</v>
      </c>
      <c r="S74" s="66" t="n">
        <v>0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185</v>
      </c>
      <c r="Y74" s="69" t="n">
        <v>30</v>
      </c>
      <c r="Z74" s="70">
        <f>X74+Y74</f>
        <v/>
      </c>
      <c r="AA74" s="71" t="n">
        <v>142</v>
      </c>
      <c r="AB74" s="71" t="n">
        <v>11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Nalla Aulya Ponto</t>
        </is>
      </c>
      <c r="C75" s="57" t="inlineStr">
        <is>
          <t>nallaaulya27@gmail.com</t>
        </is>
      </c>
      <c r="D75" s="57" t="inlineStr">
        <is>
          <t>PCL</t>
        </is>
      </c>
      <c r="E75" s="57" t="inlineStr">
        <is>
          <t>(090) TAHUNA</t>
        </is>
      </c>
      <c r="F75" s="58" t="n">
        <v>327</v>
      </c>
      <c r="G75" s="58" t="n">
        <v>57</v>
      </c>
      <c r="H75" s="59">
        <f>F75+G75</f>
        <v/>
      </c>
      <c r="I75" s="60" t="n">
        <v>103</v>
      </c>
      <c r="J75" s="60" t="n">
        <v>27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103</v>
      </c>
      <c r="P75" s="64" t="n">
        <v>40</v>
      </c>
      <c r="Q75" s="65">
        <f>P75-O75</f>
        <v/>
      </c>
      <c r="R75" s="66" t="n">
        <v>27</v>
      </c>
      <c r="S75" s="66" t="n">
        <v>8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229</v>
      </c>
      <c r="Y75" s="69" t="n">
        <v>41</v>
      </c>
      <c r="Z75" s="70">
        <f>X75+Y75</f>
        <v/>
      </c>
      <c r="AA75" s="71" t="n">
        <v>126</v>
      </c>
      <c r="AB75" s="71" t="n">
        <v>14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Billy Amstrong Tempolenehe</t>
        </is>
      </c>
      <c r="C76" s="57" t="inlineStr">
        <is>
          <t>billytempolenehe@gmail.com</t>
        </is>
      </c>
      <c r="D76" s="57" t="inlineStr">
        <is>
          <t>PCL</t>
        </is>
      </c>
      <c r="E76" s="57" t="inlineStr">
        <is>
          <t>(050) TAMAKO</t>
        </is>
      </c>
      <c r="F76" s="58" t="n">
        <v>400</v>
      </c>
      <c r="G76" s="58" t="n">
        <v>20</v>
      </c>
      <c r="H76" s="59">
        <f>F76+G76</f>
        <v/>
      </c>
      <c r="I76" s="60" t="n">
        <v>92</v>
      </c>
      <c r="J76" s="60" t="n">
        <v>8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92</v>
      </c>
      <c r="P76" s="64" t="n">
        <v>31</v>
      </c>
      <c r="Q76" s="65">
        <f>P76-O76</f>
        <v/>
      </c>
      <c r="R76" s="66" t="n">
        <v>8</v>
      </c>
      <c r="S76" s="66" t="n">
        <v>9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276</v>
      </c>
      <c r="Y76" s="69" t="n">
        <v>19</v>
      </c>
      <c r="Z76" s="70">
        <f>X76+Y76</f>
        <v/>
      </c>
      <c r="AA76" s="71" t="n">
        <v>184</v>
      </c>
      <c r="AB76" s="71" t="n">
        <v>11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Meisye Miranti Salendeho</t>
        </is>
      </c>
      <c r="C77" s="57" t="inlineStr">
        <is>
          <t>meisyemirantisalendeho@gmail.com</t>
        </is>
      </c>
      <c r="D77" s="57" t="inlineStr">
        <is>
          <t>PCL</t>
        </is>
      </c>
      <c r="E77" s="57" t="inlineStr">
        <is>
          <t>(070) TABUKAN TENGAH</t>
        </is>
      </c>
      <c r="F77" s="58" t="n">
        <v>300</v>
      </c>
      <c r="G77" s="58" t="n">
        <v>36</v>
      </c>
      <c r="H77" s="59">
        <f>F77+G77</f>
        <v/>
      </c>
      <c r="I77" s="60" t="n">
        <v>19</v>
      </c>
      <c r="J77" s="60" t="n">
        <v>16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19</v>
      </c>
      <c r="P77" s="64" t="n">
        <v>47</v>
      </c>
      <c r="Q77" s="65">
        <f>P77-O77</f>
        <v/>
      </c>
      <c r="R77" s="66" t="n">
        <v>16</v>
      </c>
      <c r="S77" s="66" t="n">
        <v>4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212</v>
      </c>
      <c r="Y77" s="69" t="n">
        <v>24</v>
      </c>
      <c r="Z77" s="70">
        <f>X77+Y77</f>
        <v/>
      </c>
      <c r="AA77" s="71" t="n">
        <v>193</v>
      </c>
      <c r="AB77" s="71" t="n">
        <v>8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Eka Saputri Rusmain</t>
        </is>
      </c>
      <c r="C78" s="57" t="inlineStr">
        <is>
          <t>puteka038@gmail.com</t>
        </is>
      </c>
      <c r="D78" s="57" t="inlineStr">
        <is>
          <t>PCL</t>
        </is>
      </c>
      <c r="E78" s="57" t="inlineStr">
        <is>
          <t>(110) KENDAHE</t>
        </is>
      </c>
      <c r="F78" s="58" t="n">
        <v>394</v>
      </c>
      <c r="G78" s="58" t="n">
        <v>52</v>
      </c>
      <c r="H78" s="59">
        <f>F78+G78</f>
        <v/>
      </c>
      <c r="I78" s="60" t="n">
        <v>63</v>
      </c>
      <c r="J78" s="60" t="n">
        <v>19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63</v>
      </c>
      <c r="P78" s="64" t="n">
        <v>47</v>
      </c>
      <c r="Q78" s="65">
        <f>P78-O78</f>
        <v/>
      </c>
      <c r="R78" s="66" t="n">
        <v>19</v>
      </c>
      <c r="S78" s="66" t="n">
        <v>8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275</v>
      </c>
      <c r="Y78" s="69" t="n">
        <v>38</v>
      </c>
      <c r="Z78" s="70">
        <f>X78+Y78</f>
        <v/>
      </c>
      <c r="AA78" s="71" t="n">
        <v>212</v>
      </c>
      <c r="AB78" s="71" t="n">
        <v>19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Alfrets Getah</t>
        </is>
      </c>
      <c r="C79" s="57" t="inlineStr">
        <is>
          <t>alfred86354@gmail.com</t>
        </is>
      </c>
      <c r="D79" s="57" t="inlineStr">
        <is>
          <t>PCL</t>
        </is>
      </c>
      <c r="E79" s="57" t="inlineStr">
        <is>
          <t>(061) TABUKAN SELATAN TENGAH</t>
        </is>
      </c>
      <c r="F79" s="58" t="n">
        <v>284</v>
      </c>
      <c r="G79" s="58" t="n">
        <v>15</v>
      </c>
      <c r="H79" s="59">
        <f>F79+G79</f>
        <v/>
      </c>
      <c r="I79" s="60" t="n">
        <v>20</v>
      </c>
      <c r="J79" s="60" t="n">
        <v>3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20</v>
      </c>
      <c r="P79" s="64" t="n">
        <v>30</v>
      </c>
      <c r="Q79" s="65">
        <f>P79-O79</f>
        <v/>
      </c>
      <c r="R79" s="66" t="n">
        <v>3</v>
      </c>
      <c r="S79" s="66" t="n">
        <v>4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201</v>
      </c>
      <c r="Y79" s="69" t="n">
        <v>8</v>
      </c>
      <c r="Z79" s="70">
        <f>X79+Y79</f>
        <v/>
      </c>
      <c r="AA79" s="71" t="n">
        <v>181</v>
      </c>
      <c r="AB79" s="71" t="n">
        <v>5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Nolvi Sanggel</t>
        </is>
      </c>
      <c r="C80" s="57" t="inlineStr">
        <is>
          <t>nolvisanggel76@gmail.com</t>
        </is>
      </c>
      <c r="D80" s="57" t="inlineStr">
        <is>
          <t>PCL</t>
        </is>
      </c>
      <c r="E80" s="57" t="inlineStr">
        <is>
          <t>(091) TAHUNA TIMUR</t>
        </is>
      </c>
      <c r="F80" s="58" t="n">
        <v>312</v>
      </c>
      <c r="G80" s="58" t="n">
        <v>75</v>
      </c>
      <c r="H80" s="59">
        <f>F80+G80</f>
        <v/>
      </c>
      <c r="I80" s="60" t="n">
        <v>50</v>
      </c>
      <c r="J80" s="60" t="n">
        <v>20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50</v>
      </c>
      <c r="P80" s="64" t="n">
        <v>25</v>
      </c>
      <c r="Q80" s="65">
        <f>P80-O80</f>
        <v/>
      </c>
      <c r="R80" s="66" t="n">
        <v>20</v>
      </c>
      <c r="S80" s="66" t="n">
        <v>3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240</v>
      </c>
      <c r="Y80" s="69" t="n">
        <v>30</v>
      </c>
      <c r="Z80" s="70">
        <f>X80+Y80</f>
        <v/>
      </c>
      <c r="AA80" s="71" t="n">
        <v>190</v>
      </c>
      <c r="AB80" s="71" t="n">
        <v>10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Sry Ayu Permatasari Tamamile Manake</t>
        </is>
      </c>
      <c r="C81" s="57" t="inlineStr">
        <is>
          <t>sriayutamamile@gmail.com</t>
        </is>
      </c>
      <c r="D81" s="57" t="inlineStr">
        <is>
          <t>PCL</t>
        </is>
      </c>
      <c r="E81" s="57" t="inlineStr">
        <is>
          <t>(060) TABUKAN SELATAN</t>
        </is>
      </c>
      <c r="F81" s="58" t="n">
        <v>277</v>
      </c>
      <c r="G81" s="58" t="n">
        <v>43</v>
      </c>
      <c r="H81" s="59">
        <f>F81+G81</f>
        <v/>
      </c>
      <c r="I81" s="60" t="n">
        <v>43</v>
      </c>
      <c r="J81" s="60" t="n">
        <v>6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43</v>
      </c>
      <c r="P81" s="64" t="n">
        <v>32</v>
      </c>
      <c r="Q81" s="65">
        <f>P81-O81</f>
        <v/>
      </c>
      <c r="R81" s="66" t="n">
        <v>6</v>
      </c>
      <c r="S81" s="66" t="n">
        <v>1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201</v>
      </c>
      <c r="Y81" s="69" t="n">
        <v>22</v>
      </c>
      <c r="Z81" s="70">
        <f>X81+Y81</f>
        <v/>
      </c>
      <c r="AA81" s="71" t="n">
        <v>158</v>
      </c>
      <c r="AB81" s="71" t="n">
        <v>16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Sulastri Bawenti</t>
        </is>
      </c>
      <c r="C82" s="57" t="inlineStr">
        <is>
          <t>sulastribwnti@gmail.com</t>
        </is>
      </c>
      <c r="D82" s="57" t="inlineStr">
        <is>
          <t>PCL</t>
        </is>
      </c>
      <c r="E82" s="57" t="inlineStr">
        <is>
          <t>(100) TABUKAN UTARA</t>
        </is>
      </c>
      <c r="F82" s="58" t="n">
        <v>350</v>
      </c>
      <c r="G82" s="58" t="n">
        <v>25</v>
      </c>
      <c r="H82" s="59">
        <f>F82+G82</f>
        <v/>
      </c>
      <c r="I82" s="60" t="n">
        <v>22</v>
      </c>
      <c r="J82" s="60" t="n">
        <v>4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22</v>
      </c>
      <c r="P82" s="64" t="n">
        <v>101</v>
      </c>
      <c r="Q82" s="65">
        <f>P82-O82</f>
        <v/>
      </c>
      <c r="R82" s="66" t="n">
        <v>4</v>
      </c>
      <c r="S82" s="66" t="n">
        <v>7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246</v>
      </c>
      <c r="Y82" s="69" t="n">
        <v>14</v>
      </c>
      <c r="Z82" s="70">
        <f>X82+Y82</f>
        <v/>
      </c>
      <c r="AA82" s="71" t="n">
        <v>224</v>
      </c>
      <c r="AB82" s="71" t="n">
        <v>10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Fitriani Mandalurang</t>
        </is>
      </c>
      <c r="C83" s="57" t="inlineStr">
        <is>
          <t>fifimendalurang@gmail.com</t>
        </is>
      </c>
      <c r="D83" s="57" t="inlineStr">
        <is>
          <t>PCL</t>
        </is>
      </c>
      <c r="E83" s="57" t="inlineStr">
        <is>
          <t>(100) TABUKAN UTARA</t>
        </is>
      </c>
      <c r="F83" s="58" t="n">
        <v>260</v>
      </c>
      <c r="G83" s="58" t="n">
        <v>92</v>
      </c>
      <c r="H83" s="59">
        <f>F83+G83</f>
        <v/>
      </c>
      <c r="I83" s="60" t="n">
        <v>27</v>
      </c>
      <c r="J83" s="60" t="n">
        <v>26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27</v>
      </c>
      <c r="P83" s="64" t="n">
        <v>93</v>
      </c>
      <c r="Q83" s="65">
        <f>P83-O83</f>
        <v/>
      </c>
      <c r="R83" s="66" t="n">
        <v>26</v>
      </c>
      <c r="S83" s="66" t="n">
        <v>9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203</v>
      </c>
      <c r="Y83" s="69" t="n">
        <v>41</v>
      </c>
      <c r="Z83" s="70">
        <f>X83+Y83</f>
        <v/>
      </c>
      <c r="AA83" s="71" t="n">
        <v>176</v>
      </c>
      <c r="AB83" s="71" t="n">
        <v>15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Leonardo Rio Patras</t>
        </is>
      </c>
      <c r="C84" s="57" t="inlineStr">
        <is>
          <t>opopatras41@gmail.com</t>
        </is>
      </c>
      <c r="D84" s="57" t="inlineStr">
        <is>
          <t>PCL</t>
        </is>
      </c>
      <c r="E84" s="57" t="inlineStr">
        <is>
          <t>(090) TAHUNA</t>
        </is>
      </c>
      <c r="F84" s="58" t="n">
        <v>182</v>
      </c>
      <c r="G84" s="58" t="n">
        <v>196</v>
      </c>
      <c r="H84" s="59">
        <f>F84+G84</f>
        <v/>
      </c>
      <c r="I84" s="60" t="n">
        <v>28</v>
      </c>
      <c r="J84" s="60" t="n">
        <v>16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28</v>
      </c>
      <c r="P84" s="64" t="n">
        <v>21</v>
      </c>
      <c r="Q84" s="65">
        <f>P84-O84</f>
        <v/>
      </c>
      <c r="R84" s="66" t="n">
        <v>16</v>
      </c>
      <c r="S84" s="66" t="n">
        <v>57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174</v>
      </c>
      <c r="Y84" s="69" t="n">
        <v>88</v>
      </c>
      <c r="Z84" s="70">
        <f>X84+Y84</f>
        <v/>
      </c>
      <c r="AA84" s="71" t="n">
        <v>146</v>
      </c>
      <c r="AB84" s="71" t="n">
        <v>72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Deisye Reine Budiman</t>
        </is>
      </c>
      <c r="C85" s="57" t="inlineStr">
        <is>
          <t>deisyebudiman549@gmail.com</t>
        </is>
      </c>
      <c r="D85" s="57" t="inlineStr">
        <is>
          <t>PCL</t>
        </is>
      </c>
      <c r="E85" s="57" t="inlineStr">
        <is>
          <t>(080) MANGANITU</t>
        </is>
      </c>
      <c r="F85" s="58" t="n">
        <v>330</v>
      </c>
      <c r="G85" s="58" t="n">
        <v>25</v>
      </c>
      <c r="H85" s="59">
        <f>F85+G85</f>
        <v/>
      </c>
      <c r="I85" s="60" t="n">
        <v>40</v>
      </c>
      <c r="J85" s="60" t="n">
        <v>10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40</v>
      </c>
      <c r="P85" s="64" t="n">
        <v>39</v>
      </c>
      <c r="Q85" s="65">
        <f>P85-O85</f>
        <v/>
      </c>
      <c r="R85" s="66" t="n">
        <v>10</v>
      </c>
      <c r="S85" s="66" t="n">
        <v>8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226</v>
      </c>
      <c r="Y85" s="69" t="n">
        <v>20</v>
      </c>
      <c r="Z85" s="70">
        <f>X85+Y85</f>
        <v/>
      </c>
      <c r="AA85" s="71" t="n">
        <v>186</v>
      </c>
      <c r="AB85" s="71" t="n">
        <v>10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Junisye Ignes Boham</t>
        </is>
      </c>
      <c r="C86" s="57" t="inlineStr">
        <is>
          <t>nisyeignes@gmail.com</t>
        </is>
      </c>
      <c r="D86" s="57" t="inlineStr">
        <is>
          <t>PCL</t>
        </is>
      </c>
      <c r="E86" s="57" t="inlineStr">
        <is>
          <t>(090) TAHUNA</t>
        </is>
      </c>
      <c r="F86" s="58" t="n">
        <v>329</v>
      </c>
      <c r="G86" s="58" t="n">
        <v>77</v>
      </c>
      <c r="H86" s="59">
        <f>F86+G86</f>
        <v/>
      </c>
      <c r="I86" s="60" t="n">
        <v>57</v>
      </c>
      <c r="J86" s="60" t="n">
        <v>33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57</v>
      </c>
      <c r="P86" s="64" t="n">
        <v>50</v>
      </c>
      <c r="Q86" s="65">
        <f>P86-O86</f>
        <v/>
      </c>
      <c r="R86" s="66" t="n">
        <v>33</v>
      </c>
      <c r="S86" s="66" t="n">
        <v>16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221</v>
      </c>
      <c r="Y86" s="69" t="n">
        <v>59</v>
      </c>
      <c r="Z86" s="70">
        <f>X86+Y86</f>
        <v/>
      </c>
      <c r="AA86" s="71" t="n">
        <v>164</v>
      </c>
      <c r="AB86" s="71" t="n">
        <v>26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Vera Angelita Tangkabiringan</t>
        </is>
      </c>
      <c r="C87" s="57" t="inlineStr">
        <is>
          <t>eiya.angelita@gmail.com</t>
        </is>
      </c>
      <c r="D87" s="57" t="inlineStr">
        <is>
          <t>PCL</t>
        </is>
      </c>
      <c r="E87" s="57" t="inlineStr">
        <is>
          <t>(090) TAHUNA</t>
        </is>
      </c>
      <c r="F87" s="58" t="n">
        <v>397</v>
      </c>
      <c r="G87" s="58" t="n">
        <v>16</v>
      </c>
      <c r="H87" s="59">
        <f>F87+G87</f>
        <v/>
      </c>
      <c r="I87" s="60" t="n">
        <v>42</v>
      </c>
      <c r="J87" s="60" t="n">
        <v>5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42</v>
      </c>
      <c r="P87" s="64" t="n">
        <v>104</v>
      </c>
      <c r="Q87" s="65">
        <f>P87-O87</f>
        <v/>
      </c>
      <c r="R87" s="66" t="n">
        <v>5</v>
      </c>
      <c r="S87" s="66" t="n">
        <v>4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273</v>
      </c>
      <c r="Y87" s="69" t="n">
        <v>10</v>
      </c>
      <c r="Z87" s="70">
        <f>X87+Y87</f>
        <v/>
      </c>
      <c r="AA87" s="71" t="n">
        <v>231</v>
      </c>
      <c r="AB87" s="71" t="n">
        <v>5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Yustin Durian</t>
        </is>
      </c>
      <c r="C88" s="57" t="inlineStr">
        <is>
          <t>yustindurian@gmail.com</t>
        </is>
      </c>
      <c r="D88" s="57" t="inlineStr">
        <is>
          <t>PCL</t>
        </is>
      </c>
      <c r="E88" s="57" t="inlineStr">
        <is>
          <t>(070) TABUKAN TENGAH</t>
        </is>
      </c>
      <c r="F88" s="58" t="n">
        <v>316</v>
      </c>
      <c r="G88" s="58" t="n">
        <v>24</v>
      </c>
      <c r="H88" s="59">
        <f>F88+G88</f>
        <v/>
      </c>
      <c r="I88" s="60" t="n">
        <v>45</v>
      </c>
      <c r="J88" s="60" t="n">
        <v>8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45</v>
      </c>
      <c r="P88" s="64" t="n">
        <v>39</v>
      </c>
      <c r="Q88" s="65">
        <f>P88-O88</f>
        <v/>
      </c>
      <c r="R88" s="66" t="n">
        <v>8</v>
      </c>
      <c r="S88" s="66" t="n">
        <v>12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207</v>
      </c>
      <c r="Y88" s="69" t="n">
        <v>25</v>
      </c>
      <c r="Z88" s="70">
        <f>X88+Y88</f>
        <v/>
      </c>
      <c r="AA88" s="71" t="n">
        <v>162</v>
      </c>
      <c r="AB88" s="71" t="n">
        <v>17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Dayan Abdullah</t>
        </is>
      </c>
      <c r="C89" s="57" t="inlineStr">
        <is>
          <t>dayan.abdullah86@gmail.com</t>
        </is>
      </c>
      <c r="D89" s="57" t="inlineStr">
        <is>
          <t>PCL</t>
        </is>
      </c>
      <c r="E89" s="57" t="inlineStr">
        <is>
          <t>(100) TABUKAN UTARA</t>
        </is>
      </c>
      <c r="F89" s="58" t="n">
        <v>343</v>
      </c>
      <c r="G89" s="58" t="n">
        <v>31</v>
      </c>
      <c r="H89" s="59">
        <f>F89+G89</f>
        <v/>
      </c>
      <c r="I89" s="60" t="n">
        <v>30</v>
      </c>
      <c r="J89" s="60" t="n">
        <v>16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30</v>
      </c>
      <c r="P89" s="64" t="n">
        <v>56</v>
      </c>
      <c r="Q89" s="65">
        <f>P89-O89</f>
        <v/>
      </c>
      <c r="R89" s="66" t="n">
        <v>16</v>
      </c>
      <c r="S89" s="66" t="n">
        <v>2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230</v>
      </c>
      <c r="Y89" s="69" t="n">
        <v>22</v>
      </c>
      <c r="Z89" s="70">
        <f>X89+Y89</f>
        <v/>
      </c>
      <c r="AA89" s="71" t="n">
        <v>200</v>
      </c>
      <c r="AB89" s="71" t="n">
        <v>6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Nefi Anet Wawanda</t>
        </is>
      </c>
      <c r="C90" s="57" t="inlineStr">
        <is>
          <t>nefiwawanda11@gmail.com</t>
        </is>
      </c>
      <c r="D90" s="57" t="inlineStr">
        <is>
          <t>PCL</t>
        </is>
      </c>
      <c r="E90" s="57" t="inlineStr">
        <is>
          <t>(080) MANGANITU</t>
        </is>
      </c>
      <c r="F90" s="58" t="n">
        <v>330</v>
      </c>
      <c r="G90" s="58" t="n">
        <v>31</v>
      </c>
      <c r="H90" s="59">
        <f>F90+G90</f>
        <v/>
      </c>
      <c r="I90" s="60" t="n">
        <v>15</v>
      </c>
      <c r="J90" s="60" t="n">
        <v>5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15</v>
      </c>
      <c r="P90" s="64" t="n">
        <v>41</v>
      </c>
      <c r="Q90" s="65">
        <f>P90-O90</f>
        <v/>
      </c>
      <c r="R90" s="66" t="n">
        <v>5</v>
      </c>
      <c r="S90" s="66" t="n">
        <v>6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228</v>
      </c>
      <c r="Y90" s="69" t="n">
        <v>15</v>
      </c>
      <c r="Z90" s="70">
        <f>X90+Y90</f>
        <v/>
      </c>
      <c r="AA90" s="71" t="n">
        <v>213</v>
      </c>
      <c r="AB90" s="71" t="n">
        <v>10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Siti Nurhayati Igirisa</t>
        </is>
      </c>
      <c r="C91" s="57" t="inlineStr">
        <is>
          <t>igirisatia5@gmail.com</t>
        </is>
      </c>
      <c r="D91" s="57" t="inlineStr">
        <is>
          <t>PCL</t>
        </is>
      </c>
      <c r="E91" s="57" t="inlineStr">
        <is>
          <t>(090) TAHUNA</t>
        </is>
      </c>
      <c r="F91" s="58" t="n">
        <v>262</v>
      </c>
      <c r="G91" s="58" t="n">
        <v>150</v>
      </c>
      <c r="H91" s="59">
        <f>F91+G91</f>
        <v/>
      </c>
      <c r="I91" s="60" t="n">
        <v>81</v>
      </c>
      <c r="J91" s="60" t="n">
        <v>22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81</v>
      </c>
      <c r="P91" s="64" t="n">
        <v>59</v>
      </c>
      <c r="Q91" s="65">
        <f>P91-O91</f>
        <v/>
      </c>
      <c r="R91" s="66" t="n">
        <v>22</v>
      </c>
      <c r="S91" s="66" t="n">
        <v>30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209</v>
      </c>
      <c r="Y91" s="69" t="n">
        <v>67</v>
      </c>
      <c r="Z91" s="70">
        <f>X91+Y91</f>
        <v/>
      </c>
      <c r="AA91" s="71" t="n">
        <v>128</v>
      </c>
      <c r="AB91" s="71" t="n">
        <v>45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Verawati Cristy Lolaroh</t>
        </is>
      </c>
      <c r="C92" s="57" t="inlineStr">
        <is>
          <t>verawaticristylolaroh02@gmail.com</t>
        </is>
      </c>
      <c r="D92" s="57" t="inlineStr">
        <is>
          <t>PCL</t>
        </is>
      </c>
      <c r="E92" s="57" t="inlineStr">
        <is>
          <t>(091) TAHUNA TIMUR</t>
        </is>
      </c>
      <c r="F92" s="58" t="n">
        <v>346</v>
      </c>
      <c r="G92" s="58" t="n">
        <v>54</v>
      </c>
      <c r="H92" s="59">
        <f>F92+G92</f>
        <v/>
      </c>
      <c r="I92" s="60" t="n">
        <v>58</v>
      </c>
      <c r="J92" s="60" t="n">
        <v>10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58</v>
      </c>
      <c r="P92" s="64" t="n">
        <v>70</v>
      </c>
      <c r="Q92" s="65">
        <f>P92-O92</f>
        <v/>
      </c>
      <c r="R92" s="66" t="n">
        <v>10</v>
      </c>
      <c r="S92" s="66" t="n">
        <v>14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238</v>
      </c>
      <c r="Y92" s="69" t="n">
        <v>29</v>
      </c>
      <c r="Z92" s="70">
        <f>X92+Y92</f>
        <v/>
      </c>
      <c r="AA92" s="71" t="n">
        <v>180</v>
      </c>
      <c r="AB92" s="71" t="n">
        <v>19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Fernando Bielly Sindua</t>
        </is>
      </c>
      <c r="C93" s="57" t="inlineStr">
        <is>
          <t>biellysindua@gmail.com</t>
        </is>
      </c>
      <c r="D93" s="57" t="inlineStr">
        <is>
          <t>PCL</t>
        </is>
      </c>
      <c r="E93" s="57" t="inlineStr">
        <is>
          <t>(091) TAHUNA TIMUR</t>
        </is>
      </c>
      <c r="F93" s="58" t="n">
        <v>335</v>
      </c>
      <c r="G93" s="58" t="n">
        <v>61</v>
      </c>
      <c r="H93" s="59">
        <f>F93+G93</f>
        <v/>
      </c>
      <c r="I93" s="60" t="n">
        <v>96</v>
      </c>
      <c r="J93" s="60" t="n">
        <v>30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96</v>
      </c>
      <c r="P93" s="64" t="n">
        <v>47</v>
      </c>
      <c r="Q93" s="65">
        <f>P93-O93</f>
        <v/>
      </c>
      <c r="R93" s="66" t="n">
        <v>30</v>
      </c>
      <c r="S93" s="66" t="n">
        <v>2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226</v>
      </c>
      <c r="Y93" s="69" t="n">
        <v>36</v>
      </c>
      <c r="Z93" s="70">
        <f>X93+Y93</f>
        <v/>
      </c>
      <c r="AA93" s="71" t="n">
        <v>130</v>
      </c>
      <c r="AB93" s="71" t="n">
        <v>6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>
        <is>
          <t>Fransiska Paolin Tumbale</t>
        </is>
      </c>
      <c r="C94" s="57" t="inlineStr">
        <is>
          <t>fransiskapaolin@gmail.com</t>
        </is>
      </c>
      <c r="D94" s="57" t="inlineStr">
        <is>
          <t>PCL</t>
        </is>
      </c>
      <c r="E94" s="57" t="inlineStr">
        <is>
          <t>(092) TAHUNA BARAT</t>
        </is>
      </c>
      <c r="F94" s="58" t="n">
        <v>397</v>
      </c>
      <c r="G94" s="58" t="n">
        <v>36</v>
      </c>
      <c r="H94" s="59">
        <f>F94+G94</f>
        <v/>
      </c>
      <c r="I94" s="60" t="n">
        <v>53</v>
      </c>
      <c r="J94" s="60" t="n">
        <v>10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53</v>
      </c>
      <c r="P94" s="64" t="n">
        <v>21</v>
      </c>
      <c r="Q94" s="65">
        <f>P94-O94</f>
        <v/>
      </c>
      <c r="R94" s="66" t="n">
        <v>10</v>
      </c>
      <c r="S94" s="66" t="n">
        <v>1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266</v>
      </c>
      <c r="Y94" s="69" t="n">
        <v>18</v>
      </c>
      <c r="Z94" s="70">
        <f>X94+Y94</f>
        <v/>
      </c>
      <c r="AA94" s="71" t="n">
        <v>213</v>
      </c>
      <c r="AB94" s="71" t="n">
        <v>8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Evita Beatrix Nanlohy</t>
        </is>
      </c>
      <c r="C95" s="57" t="inlineStr">
        <is>
          <t>evitananlohy29@gmail.com</t>
        </is>
      </c>
      <c r="D95" s="57" t="inlineStr">
        <is>
          <t>PCL</t>
        </is>
      </c>
      <c r="E95" s="57" t="inlineStr">
        <is>
          <t>(092) TAHUNA BARAT</t>
        </is>
      </c>
      <c r="F95" s="58" t="n">
        <v>407</v>
      </c>
      <c r="G95" s="58" t="n">
        <v>34</v>
      </c>
      <c r="H95" s="59">
        <f>F95+G95</f>
        <v/>
      </c>
      <c r="I95" s="60" t="n">
        <v>46</v>
      </c>
      <c r="J95" s="60" t="n">
        <v>16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46</v>
      </c>
      <c r="P95" s="64" t="n">
        <v>19</v>
      </c>
      <c r="Q95" s="65">
        <f>P95-O95</f>
        <v/>
      </c>
      <c r="R95" s="66" t="n">
        <v>16</v>
      </c>
      <c r="S95" s="66" t="n">
        <v>3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266</v>
      </c>
      <c r="Y95" s="69" t="n">
        <v>23</v>
      </c>
      <c r="Z95" s="70">
        <f>X95+Y95</f>
        <v/>
      </c>
      <c r="AA95" s="71" t="n">
        <v>220</v>
      </c>
      <c r="AB95" s="71" t="n">
        <v>7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Satrio Prasetya Braid Dalantang</t>
        </is>
      </c>
      <c r="C96" s="57" t="inlineStr">
        <is>
          <t>satrioopbd@gmail.com</t>
        </is>
      </c>
      <c r="D96" s="57" t="inlineStr">
        <is>
          <t>PCL</t>
        </is>
      </c>
      <c r="E96" s="57" t="inlineStr">
        <is>
          <t>(041) TATOARENG</t>
        </is>
      </c>
      <c r="F96" s="58" t="n">
        <v>252</v>
      </c>
      <c r="G96" s="58" t="n">
        <v>33</v>
      </c>
      <c r="H96" s="59">
        <f>F96+G96</f>
        <v/>
      </c>
      <c r="I96" s="60" t="n">
        <v>30</v>
      </c>
      <c r="J96" s="60" t="n">
        <v>16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30</v>
      </c>
      <c r="P96" s="64" t="n">
        <v>68</v>
      </c>
      <c r="Q96" s="65">
        <f>P96-O96</f>
        <v/>
      </c>
      <c r="R96" s="66" t="n">
        <v>16</v>
      </c>
      <c r="S96" s="66" t="n">
        <v>2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167</v>
      </c>
      <c r="Y96" s="69" t="n">
        <v>19</v>
      </c>
      <c r="Z96" s="70">
        <f>X96+Y96</f>
        <v/>
      </c>
      <c r="AA96" s="71" t="n">
        <v>137</v>
      </c>
      <c r="AB96" s="71" t="n">
        <v>3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Ardi Brian Silas Saul</t>
        </is>
      </c>
      <c r="C97" s="57" t="inlineStr">
        <is>
          <t>brayenabssaul@gmail.com</t>
        </is>
      </c>
      <c r="D97" s="57" t="inlineStr">
        <is>
          <t>PCL</t>
        </is>
      </c>
      <c r="E97" s="57" t="inlineStr">
        <is>
          <t>(080) MANGANITU</t>
        </is>
      </c>
      <c r="F97" s="58" t="n">
        <v>312</v>
      </c>
      <c r="G97" s="58" t="n">
        <v>41</v>
      </c>
      <c r="H97" s="59">
        <f>F97+G97</f>
        <v/>
      </c>
      <c r="I97" s="60" t="n">
        <v>25</v>
      </c>
      <c r="J97" s="60" t="n">
        <v>11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25</v>
      </c>
      <c r="P97" s="64" t="n">
        <v>31</v>
      </c>
      <c r="Q97" s="65">
        <f>P97-O97</f>
        <v/>
      </c>
      <c r="R97" s="66" t="n">
        <v>11</v>
      </c>
      <c r="S97" s="66" t="n">
        <v>3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206</v>
      </c>
      <c r="Y97" s="69" t="n">
        <v>24</v>
      </c>
      <c r="Z97" s="70">
        <f>X97+Y97</f>
        <v/>
      </c>
      <c r="AA97" s="71" t="n">
        <v>181</v>
      </c>
      <c r="AB97" s="71" t="n">
        <v>13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Rendy Julio Bangonang</t>
        </is>
      </c>
      <c r="C98" s="57" t="inlineStr">
        <is>
          <t>rendybangonang@gmail.com</t>
        </is>
      </c>
      <c r="D98" s="57" t="inlineStr">
        <is>
          <t>PCL</t>
        </is>
      </c>
      <c r="E98" s="57" t="inlineStr">
        <is>
          <t>(092) TAHUNA BARAT</t>
        </is>
      </c>
      <c r="F98" s="58" t="n">
        <v>396</v>
      </c>
      <c r="G98" s="58" t="n">
        <v>22</v>
      </c>
      <c r="H98" s="59">
        <f>F98+G98</f>
        <v/>
      </c>
      <c r="I98" s="60" t="n">
        <v>28</v>
      </c>
      <c r="J98" s="60" t="n">
        <v>5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28</v>
      </c>
      <c r="P98" s="64" t="n">
        <v>18</v>
      </c>
      <c r="Q98" s="65">
        <f>P98-O98</f>
        <v/>
      </c>
      <c r="R98" s="66" t="n">
        <v>5</v>
      </c>
      <c r="S98" s="66" t="n">
        <v>1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264</v>
      </c>
      <c r="Y98" s="69" t="n">
        <v>8</v>
      </c>
      <c r="Z98" s="70">
        <f>X98+Y98</f>
        <v/>
      </c>
      <c r="AA98" s="71" t="n">
        <v>236</v>
      </c>
      <c r="AB98" s="71" t="n">
        <v>3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Amels Wisye Margareth Sasauw</t>
        </is>
      </c>
      <c r="C99" s="57" t="inlineStr">
        <is>
          <t>amelssasauw138@gmail.com</t>
        </is>
      </c>
      <c r="D99" s="57" t="inlineStr">
        <is>
          <t>PCL</t>
        </is>
      </c>
      <c r="E99" s="57" t="inlineStr">
        <is>
          <t>(080) MANGANITU</t>
        </is>
      </c>
      <c r="F99" s="58" t="n">
        <v>338</v>
      </c>
      <c r="G99" s="58" t="n">
        <v>22</v>
      </c>
      <c r="H99" s="59">
        <f>F99+G99</f>
        <v/>
      </c>
      <c r="I99" s="60" t="n">
        <v>14</v>
      </c>
      <c r="J99" s="60" t="n">
        <v>3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14</v>
      </c>
      <c r="P99" s="64" t="n">
        <v>20</v>
      </c>
      <c r="Q99" s="65">
        <f>P99-O99</f>
        <v/>
      </c>
      <c r="R99" s="66" t="n">
        <v>3</v>
      </c>
      <c r="S99" s="66" t="n">
        <v>2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226</v>
      </c>
      <c r="Y99" s="69" t="n">
        <v>8</v>
      </c>
      <c r="Z99" s="70">
        <f>X99+Y99</f>
        <v/>
      </c>
      <c r="AA99" s="71" t="n">
        <v>212</v>
      </c>
      <c r="AB99" s="71" t="n">
        <v>5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Yudhistira Prasetya Tangkabiringan</t>
        </is>
      </c>
      <c r="C100" s="57" t="inlineStr">
        <is>
          <t>yudhistiratangkabiringan@gmail.com</t>
        </is>
      </c>
      <c r="D100" s="57" t="inlineStr">
        <is>
          <t>PCL</t>
        </is>
      </c>
      <c r="E100" s="57" t="inlineStr">
        <is>
          <t>(090) TAHUNA</t>
        </is>
      </c>
      <c r="F100" s="58" t="n">
        <v>359</v>
      </c>
      <c r="G100" s="58" t="n">
        <v>22</v>
      </c>
      <c r="H100" s="59">
        <f>F100+G100</f>
        <v/>
      </c>
      <c r="I100" s="60" t="n">
        <v>31</v>
      </c>
      <c r="J100" s="60" t="n">
        <v>9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31</v>
      </c>
      <c r="P100" s="64" t="n">
        <v>9</v>
      </c>
      <c r="Q100" s="65">
        <f>P100-O100</f>
        <v/>
      </c>
      <c r="R100" s="66" t="n">
        <v>9</v>
      </c>
      <c r="S100" s="66" t="n">
        <v>4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229</v>
      </c>
      <c r="Y100" s="69" t="n">
        <v>18</v>
      </c>
      <c r="Z100" s="70">
        <f>X100+Y100</f>
        <v/>
      </c>
      <c r="AA100" s="71" t="n">
        <v>198</v>
      </c>
      <c r="AB100" s="71" t="n">
        <v>9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Marisye Silpia Limpong</t>
        </is>
      </c>
      <c r="C101" s="57" t="inlineStr">
        <is>
          <t>marisyelimpong@gmail.com</t>
        </is>
      </c>
      <c r="D101" s="57" t="inlineStr">
        <is>
          <t>PCL</t>
        </is>
      </c>
      <c r="E101" s="57" t="inlineStr">
        <is>
          <t>(080) MANGANITU</t>
        </is>
      </c>
      <c r="F101" s="58" t="n">
        <v>304</v>
      </c>
      <c r="G101" s="58" t="n">
        <v>53</v>
      </c>
      <c r="H101" s="59">
        <f>F101+G101</f>
        <v/>
      </c>
      <c r="I101" s="60" t="n">
        <v>105</v>
      </c>
      <c r="J101" s="60" t="n">
        <v>3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105</v>
      </c>
      <c r="P101" s="64" t="n">
        <v>28</v>
      </c>
      <c r="Q101" s="65">
        <f>P101-O101</f>
        <v/>
      </c>
      <c r="R101" s="66" t="n">
        <v>3</v>
      </c>
      <c r="S101" s="66" t="n">
        <v>5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219</v>
      </c>
      <c r="Y101" s="69" t="n">
        <v>12</v>
      </c>
      <c r="Z101" s="70">
        <f>X101+Y101</f>
        <v/>
      </c>
      <c r="AA101" s="71" t="n">
        <v>114</v>
      </c>
      <c r="AB101" s="71" t="n">
        <v>9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>
        <is>
          <t>Oktavianti Tangkabiringan</t>
        </is>
      </c>
      <c r="C102" s="57" t="inlineStr">
        <is>
          <t>tangkabiringananti@gmail.com</t>
        </is>
      </c>
      <c r="D102" s="57" t="inlineStr">
        <is>
          <t>PCL</t>
        </is>
      </c>
      <c r="E102" s="57" t="inlineStr">
        <is>
          <t>(110) KENDAHE</t>
        </is>
      </c>
      <c r="F102" s="58" t="n">
        <v>399</v>
      </c>
      <c r="G102" s="58" t="n">
        <v>23</v>
      </c>
      <c r="H102" s="59">
        <f>F102+G102</f>
        <v/>
      </c>
      <c r="I102" s="60" t="n">
        <v>36</v>
      </c>
      <c r="J102" s="60" t="n">
        <v>7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36</v>
      </c>
      <c r="P102" s="64" t="n">
        <v>56</v>
      </c>
      <c r="Q102" s="65">
        <f>P102-O102</f>
        <v/>
      </c>
      <c r="R102" s="66" t="n">
        <v>7</v>
      </c>
      <c r="S102" s="66" t="n">
        <v>12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248</v>
      </c>
      <c r="Y102" s="69" t="n">
        <v>24</v>
      </c>
      <c r="Z102" s="70">
        <f>X102+Y102</f>
        <v/>
      </c>
      <c r="AA102" s="71" t="n">
        <v>212</v>
      </c>
      <c r="AB102" s="71" t="n">
        <v>17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Christianto Harilama</t>
        </is>
      </c>
      <c r="C103" s="57" t="inlineStr">
        <is>
          <t>harilamachris23@gmail.com</t>
        </is>
      </c>
      <c r="D103" s="57" t="inlineStr">
        <is>
          <t>PCL</t>
        </is>
      </c>
      <c r="E103" s="57" t="inlineStr">
        <is>
          <t>(091) TAHUNA TIMUR</t>
        </is>
      </c>
      <c r="F103" s="58" t="n">
        <v>386</v>
      </c>
      <c r="G103" s="58" t="n">
        <v>27</v>
      </c>
      <c r="H103" s="59">
        <f>F103+G103</f>
        <v/>
      </c>
      <c r="I103" s="60" t="n">
        <v>47</v>
      </c>
      <c r="J103" s="60" t="n">
        <v>9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47</v>
      </c>
      <c r="P103" s="64" t="n">
        <v>13</v>
      </c>
      <c r="Q103" s="65">
        <f>P103-O103</f>
        <v/>
      </c>
      <c r="R103" s="66" t="n">
        <v>9</v>
      </c>
      <c r="S103" s="66" t="n">
        <v>9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242</v>
      </c>
      <c r="Y103" s="69" t="n">
        <v>24</v>
      </c>
      <c r="Z103" s="70">
        <f>X103+Y103</f>
        <v/>
      </c>
      <c r="AA103" s="71" t="n">
        <v>195</v>
      </c>
      <c r="AB103" s="71" t="n">
        <v>15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Srirahayu Durumias</t>
        </is>
      </c>
      <c r="C104" s="57" t="inlineStr">
        <is>
          <t>srirahayudurumias@gmail.com</t>
        </is>
      </c>
      <c r="D104" s="57" t="inlineStr">
        <is>
          <t>PCL</t>
        </is>
      </c>
      <c r="E104" s="57" t="inlineStr">
        <is>
          <t>(110) KENDAHE</t>
        </is>
      </c>
      <c r="F104" s="58" t="n">
        <v>242</v>
      </c>
      <c r="G104" s="58" t="n">
        <v>19</v>
      </c>
      <c r="H104" s="59">
        <f>F104+G104</f>
        <v/>
      </c>
      <c r="I104" s="60" t="n">
        <v>47</v>
      </c>
      <c r="J104" s="60" t="n">
        <v>10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47</v>
      </c>
      <c r="P104" s="64" t="n">
        <v>9</v>
      </c>
      <c r="Q104" s="65">
        <f>P104-O104</f>
        <v/>
      </c>
      <c r="R104" s="66" t="n">
        <v>10</v>
      </c>
      <c r="S104" s="66" t="n">
        <v>1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154</v>
      </c>
      <c r="Y104" s="69" t="n">
        <v>14</v>
      </c>
      <c r="Z104" s="70">
        <f>X104+Y104</f>
        <v/>
      </c>
      <c r="AA104" s="71" t="n">
        <v>107</v>
      </c>
      <c r="AB104" s="71" t="n">
        <v>4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Elan Chrisye Ansar</t>
        </is>
      </c>
      <c r="C105" s="57" t="inlineStr">
        <is>
          <t>ellan87ansar@gmail.com</t>
        </is>
      </c>
      <c r="D105" s="57" t="inlineStr">
        <is>
          <t>PCL</t>
        </is>
      </c>
      <c r="E105" s="57" t="inlineStr">
        <is>
          <t>(061) TABUKAN SELATAN TENGAH &amp; (062) TABUKAN SELATAN TENGGARA</t>
        </is>
      </c>
      <c r="F105" s="58" t="n">
        <v>251</v>
      </c>
      <c r="G105" s="58" t="n">
        <v>43</v>
      </c>
      <c r="H105" s="59">
        <f>F105+G105</f>
        <v/>
      </c>
      <c r="I105" s="60" t="n">
        <v>36</v>
      </c>
      <c r="J105" s="60" t="n">
        <v>12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36</v>
      </c>
      <c r="P105" s="64" t="n">
        <v>32</v>
      </c>
      <c r="Q105" s="65">
        <f>P105-O105</f>
        <v/>
      </c>
      <c r="R105" s="66" t="n">
        <v>12</v>
      </c>
      <c r="S105" s="66" t="n">
        <v>10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166</v>
      </c>
      <c r="Y105" s="69" t="n">
        <v>23</v>
      </c>
      <c r="Z105" s="70">
        <f>X105+Y105</f>
        <v/>
      </c>
      <c r="AA105" s="71" t="n">
        <v>130</v>
      </c>
      <c r="AB105" s="71" t="n">
        <v>11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Geovani Marchiano Monok</t>
        </is>
      </c>
      <c r="C106" s="57" t="inlineStr">
        <is>
          <t>geovanimonok34@gmail.com</t>
        </is>
      </c>
      <c r="D106" s="57" t="inlineStr">
        <is>
          <t>PCL</t>
        </is>
      </c>
      <c r="E106" s="57" t="inlineStr">
        <is>
          <t>(080) MANGANITU</t>
        </is>
      </c>
      <c r="F106" s="58" t="n">
        <v>328</v>
      </c>
      <c r="G106" s="58" t="n">
        <v>27</v>
      </c>
      <c r="H106" s="59">
        <f>F106+G106</f>
        <v/>
      </c>
      <c r="I106" s="60" t="n">
        <v>49</v>
      </c>
      <c r="J106" s="60" t="n">
        <v>9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49</v>
      </c>
      <c r="P106" s="64" t="n">
        <v>20</v>
      </c>
      <c r="Q106" s="65">
        <f>P106-O106</f>
        <v/>
      </c>
      <c r="R106" s="66" t="n">
        <v>9</v>
      </c>
      <c r="S106" s="66" t="n">
        <v>0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214</v>
      </c>
      <c r="Y106" s="69" t="n">
        <v>13</v>
      </c>
      <c r="Z106" s="70">
        <f>X106+Y106</f>
        <v/>
      </c>
      <c r="AA106" s="71" t="n">
        <v>165</v>
      </c>
      <c r="AB106" s="71" t="n">
        <v>4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Frezcilia Dewi Daleda</t>
        </is>
      </c>
      <c r="C107" s="57" t="inlineStr">
        <is>
          <t>frzfrz130293@gmail.com</t>
        </is>
      </c>
      <c r="D107" s="57" t="inlineStr">
        <is>
          <t>PCL</t>
        </is>
      </c>
      <c r="E107" s="57" t="inlineStr">
        <is>
          <t>(090) TAHUNA</t>
        </is>
      </c>
      <c r="F107" s="58" t="n">
        <v>322</v>
      </c>
      <c r="G107" s="58" t="n">
        <v>58</v>
      </c>
      <c r="H107" s="59">
        <f>F107+G107</f>
        <v/>
      </c>
      <c r="I107" s="60" t="n">
        <v>45</v>
      </c>
      <c r="J107" s="60" t="n">
        <v>27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45</v>
      </c>
      <c r="P107" s="64" t="n">
        <v>14</v>
      </c>
      <c r="Q107" s="65">
        <f>P107-O107</f>
        <v/>
      </c>
      <c r="R107" s="66" t="n">
        <v>27</v>
      </c>
      <c r="S107" s="66" t="n">
        <v>7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186</v>
      </c>
      <c r="Y107" s="69" t="n">
        <v>53</v>
      </c>
      <c r="Z107" s="70">
        <f>X107+Y107</f>
        <v/>
      </c>
      <c r="AA107" s="71" t="n">
        <v>141</v>
      </c>
      <c r="AB107" s="71" t="n">
        <v>26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Julianty Thesa Takaredase</t>
        </is>
      </c>
      <c r="C108" s="57" t="inlineStr">
        <is>
          <t>echaatakaredase@gmail.com</t>
        </is>
      </c>
      <c r="D108" s="57" t="inlineStr">
        <is>
          <t>PCL</t>
        </is>
      </c>
      <c r="E108" s="57" t="inlineStr">
        <is>
          <t>(080) MANGANITU</t>
        </is>
      </c>
      <c r="F108" s="58" t="n">
        <v>321</v>
      </c>
      <c r="G108" s="58" t="n">
        <v>40</v>
      </c>
      <c r="H108" s="59">
        <f>F108+G108</f>
        <v/>
      </c>
      <c r="I108" s="60" t="n">
        <v>24</v>
      </c>
      <c r="J108" s="60" t="n">
        <v>20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24</v>
      </c>
      <c r="P108" s="64" t="n">
        <v>44</v>
      </c>
      <c r="Q108" s="65">
        <f>P108-O108</f>
        <v/>
      </c>
      <c r="R108" s="66" t="n">
        <v>20</v>
      </c>
      <c r="S108" s="66" t="n">
        <v>8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188</v>
      </c>
      <c r="Y108" s="69" t="n">
        <v>37</v>
      </c>
      <c r="Z108" s="70">
        <f>X108+Y108</f>
        <v/>
      </c>
      <c r="AA108" s="71" t="n">
        <v>164</v>
      </c>
      <c r="AB108" s="71" t="n">
        <v>17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Vania Gavrila Lakada</t>
        </is>
      </c>
      <c r="C109" s="57" t="inlineStr">
        <is>
          <t>nialakada18@gmail.com</t>
        </is>
      </c>
      <c r="D109" s="57" t="inlineStr">
        <is>
          <t>PCL</t>
        </is>
      </c>
      <c r="E109" s="57" t="inlineStr">
        <is>
          <t>(080) MANGANITU</t>
        </is>
      </c>
      <c r="F109" s="58" t="n">
        <v>273</v>
      </c>
      <c r="G109" s="58" t="n">
        <v>93</v>
      </c>
      <c r="H109" s="59">
        <f>F109+G109</f>
        <v/>
      </c>
      <c r="I109" s="60" t="n">
        <v>10</v>
      </c>
      <c r="J109" s="60" t="n">
        <v>15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10</v>
      </c>
      <c r="P109" s="64" t="n">
        <v>53</v>
      </c>
      <c r="Q109" s="65">
        <f>P109-O109</f>
        <v/>
      </c>
      <c r="R109" s="66" t="n">
        <v>15</v>
      </c>
      <c r="S109" s="66" t="n">
        <v>13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175</v>
      </c>
      <c r="Y109" s="69" t="n">
        <v>52</v>
      </c>
      <c r="Z109" s="70">
        <f>X109+Y109</f>
        <v/>
      </c>
      <c r="AA109" s="71" t="n">
        <v>165</v>
      </c>
      <c r="AB109" s="71" t="n">
        <v>37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Juanric Eben Misarios Rakinaung</t>
        </is>
      </c>
      <c r="C110" s="57" t="inlineStr">
        <is>
          <t>juanricrakinaung@gmail.com</t>
        </is>
      </c>
      <c r="D110" s="57" t="inlineStr">
        <is>
          <t>PCL</t>
        </is>
      </c>
      <c r="E110" s="57" t="inlineStr">
        <is>
          <t>(040) MANGANITU SELATAN</t>
        </is>
      </c>
      <c r="F110" s="58" t="n">
        <v>296</v>
      </c>
      <c r="G110" s="58" t="n">
        <v>12</v>
      </c>
      <c r="H110" s="59">
        <f>F110+G110</f>
        <v/>
      </c>
      <c r="I110" s="60" t="n">
        <v>19</v>
      </c>
      <c r="J110" s="60" t="n">
        <v>8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19</v>
      </c>
      <c r="P110" s="64" t="n">
        <v>19</v>
      </c>
      <c r="Q110" s="65">
        <f>P110-O110</f>
        <v/>
      </c>
      <c r="R110" s="66" t="n">
        <v>8</v>
      </c>
      <c r="S110" s="66" t="n">
        <v>2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175</v>
      </c>
      <c r="Y110" s="69" t="n">
        <v>12</v>
      </c>
      <c r="Z110" s="70">
        <f>X110+Y110</f>
        <v/>
      </c>
      <c r="AA110" s="71" t="n">
        <v>156</v>
      </c>
      <c r="AB110" s="71" t="n">
        <v>4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Asyer Claudio Maralending</t>
        </is>
      </c>
      <c r="C111" s="57" t="inlineStr">
        <is>
          <t>asyermaralending@gmail.com</t>
        </is>
      </c>
      <c r="D111" s="57" t="inlineStr">
        <is>
          <t>PCL</t>
        </is>
      </c>
      <c r="E111" s="57" t="inlineStr">
        <is>
          <t>(091) TAHUNA TIMUR</t>
        </is>
      </c>
      <c r="F111" s="58" t="n">
        <v>395</v>
      </c>
      <c r="G111" s="58" t="n">
        <v>35</v>
      </c>
      <c r="H111" s="59">
        <f>F111+G111</f>
        <v/>
      </c>
      <c r="I111" s="60" t="n">
        <v>55</v>
      </c>
      <c r="J111" s="60" t="n">
        <v>5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55</v>
      </c>
      <c r="P111" s="64" t="n">
        <v>27</v>
      </c>
      <c r="Q111" s="65">
        <f>P111-O111</f>
        <v/>
      </c>
      <c r="R111" s="66" t="n">
        <v>5</v>
      </c>
      <c r="S111" s="66" t="n">
        <v>1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255</v>
      </c>
      <c r="Y111" s="69" t="n">
        <v>6</v>
      </c>
      <c r="Z111" s="70">
        <f>X111+Y111</f>
        <v/>
      </c>
      <c r="AA111" s="71" t="n">
        <v>200</v>
      </c>
      <c r="AB111" s="71" t="n">
        <v>1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Regina Kesya Dumumpe</t>
        </is>
      </c>
      <c r="C112" s="57" t="inlineStr">
        <is>
          <t>moginsya32@gmail.com</t>
        </is>
      </c>
      <c r="D112" s="57" t="inlineStr">
        <is>
          <t>PCL</t>
        </is>
      </c>
      <c r="E112" s="57" t="inlineStr">
        <is>
          <t>(080) MANGANITU</t>
        </is>
      </c>
      <c r="F112" s="58" t="n">
        <v>194</v>
      </c>
      <c r="G112" s="58" t="n">
        <v>151</v>
      </c>
      <c r="H112" s="59">
        <f>F112+G112</f>
        <v/>
      </c>
      <c r="I112" s="60" t="n">
        <v>13</v>
      </c>
      <c r="J112" s="60" t="n">
        <v>12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13</v>
      </c>
      <c r="P112" s="64" t="n">
        <v>52</v>
      </c>
      <c r="Q112" s="65">
        <f>P112-O112</f>
        <v/>
      </c>
      <c r="R112" s="66" t="n">
        <v>12</v>
      </c>
      <c r="S112" s="66" t="n">
        <v>15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168</v>
      </c>
      <c r="Y112" s="69" t="n">
        <v>40</v>
      </c>
      <c r="Z112" s="70">
        <f>X112+Y112</f>
        <v/>
      </c>
      <c r="AA112" s="71" t="n">
        <v>155</v>
      </c>
      <c r="AB112" s="71" t="n">
        <v>28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Grace Dorongpangalo</t>
        </is>
      </c>
      <c r="C113" s="57" t="inlineStr">
        <is>
          <t>gracedorongpangalo11@gmail.com</t>
        </is>
      </c>
      <c r="D113" s="57" t="inlineStr">
        <is>
          <t>PCL</t>
        </is>
      </c>
      <c r="E113" s="57" t="inlineStr">
        <is>
          <t>(070) TABUKAN TENGAH</t>
        </is>
      </c>
      <c r="F113" s="58" t="n">
        <v>343</v>
      </c>
      <c r="G113" s="58" t="n">
        <v>27</v>
      </c>
      <c r="H113" s="59">
        <f>F113+G113</f>
        <v/>
      </c>
      <c r="I113" s="60" t="n">
        <v>29</v>
      </c>
      <c r="J113" s="60" t="n">
        <v>8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29</v>
      </c>
      <c r="P113" s="64" t="n">
        <v>37</v>
      </c>
      <c r="Q113" s="65">
        <f>P113-O113</f>
        <v/>
      </c>
      <c r="R113" s="66" t="n">
        <v>8</v>
      </c>
      <c r="S113" s="66" t="n">
        <v>10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199</v>
      </c>
      <c r="Y113" s="69" t="n">
        <v>24</v>
      </c>
      <c r="Z113" s="70">
        <f>X113+Y113</f>
        <v/>
      </c>
      <c r="AA113" s="71" t="n">
        <v>170</v>
      </c>
      <c r="AB113" s="71" t="n">
        <v>16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Arfando Pieter Tampilang</t>
        </is>
      </c>
      <c r="C114" s="57" t="inlineStr">
        <is>
          <t>pietertampilang@gmail.com</t>
        </is>
      </c>
      <c r="D114" s="57" t="inlineStr">
        <is>
          <t>PCL</t>
        </is>
      </c>
      <c r="E114" s="57" t="inlineStr">
        <is>
          <t>(070) TABUKAN TENGAH</t>
        </is>
      </c>
      <c r="F114" s="58" t="n">
        <v>297</v>
      </c>
      <c r="G114" s="58" t="n">
        <v>72</v>
      </c>
      <c r="H114" s="59">
        <f>F114+G114</f>
        <v/>
      </c>
      <c r="I114" s="60" t="n">
        <v>71</v>
      </c>
      <c r="J114" s="60" t="n">
        <v>15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71</v>
      </c>
      <c r="P114" s="64" t="n">
        <v>13</v>
      </c>
      <c r="Q114" s="65">
        <f>P114-O114</f>
        <v/>
      </c>
      <c r="R114" s="66" t="n">
        <v>15</v>
      </c>
      <c r="S114" s="66" t="n">
        <v>4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168</v>
      </c>
      <c r="Y114" s="69" t="n">
        <v>54</v>
      </c>
      <c r="Z114" s="70">
        <f>X114+Y114</f>
        <v/>
      </c>
      <c r="AA114" s="71" t="n">
        <v>97</v>
      </c>
      <c r="AB114" s="71" t="n">
        <v>39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Ratna Sari Tumuwe</t>
        </is>
      </c>
      <c r="C115" s="57" t="inlineStr">
        <is>
          <t>ratnatumuwe41@gmail.com</t>
        </is>
      </c>
      <c r="D115" s="57" t="inlineStr">
        <is>
          <t>PCL</t>
        </is>
      </c>
      <c r="E115" s="57" t="inlineStr">
        <is>
          <t>(092) TAHUNA BARAT</t>
        </is>
      </c>
      <c r="F115" s="58" t="n">
        <v>431</v>
      </c>
      <c r="G115" s="58" t="n">
        <v>28</v>
      </c>
      <c r="H115" s="59">
        <f>F115+G115</f>
        <v/>
      </c>
      <c r="I115" s="60" t="n">
        <v>50</v>
      </c>
      <c r="J115" s="60" t="n">
        <v>8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50</v>
      </c>
      <c r="P115" s="64" t="n">
        <v>33</v>
      </c>
      <c r="Q115" s="65">
        <f>P115-O115</f>
        <v/>
      </c>
      <c r="R115" s="66" t="n">
        <v>8</v>
      </c>
      <c r="S115" s="66" t="n">
        <v>2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258</v>
      </c>
      <c r="Y115" s="69" t="n">
        <v>18</v>
      </c>
      <c r="Z115" s="70">
        <f>X115+Y115</f>
        <v/>
      </c>
      <c r="AA115" s="71" t="n">
        <v>208</v>
      </c>
      <c r="AB115" s="71" t="n">
        <v>10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Allan Christovel Sapeti</t>
        </is>
      </c>
      <c r="C116" s="57" t="inlineStr">
        <is>
          <t>allansapeti33@gmail.com</t>
        </is>
      </c>
      <c r="D116" s="57" t="inlineStr">
        <is>
          <t>PCL</t>
        </is>
      </c>
      <c r="E116" s="57" t="inlineStr">
        <is>
          <t>(070) TABUKAN TENGAH</t>
        </is>
      </c>
      <c r="F116" s="58" t="n">
        <v>297</v>
      </c>
      <c r="G116" s="58" t="n">
        <v>21</v>
      </c>
      <c r="H116" s="59">
        <f>F116+G116</f>
        <v/>
      </c>
      <c r="I116" s="60" t="n">
        <v>23</v>
      </c>
      <c r="J116" s="60" t="n">
        <v>3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23</v>
      </c>
      <c r="P116" s="64" t="n">
        <v>47</v>
      </c>
      <c r="Q116" s="65">
        <f>P116-O116</f>
        <v/>
      </c>
      <c r="R116" s="66" t="n">
        <v>3</v>
      </c>
      <c r="S116" s="66" t="n">
        <v>4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174</v>
      </c>
      <c r="Y116" s="69" t="n">
        <v>16</v>
      </c>
      <c r="Z116" s="70">
        <f>X116+Y116</f>
        <v/>
      </c>
      <c r="AA116" s="71" t="n">
        <v>151</v>
      </c>
      <c r="AB116" s="71" t="n">
        <v>13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Nevivania Liopenne Kakauhe</t>
        </is>
      </c>
      <c r="C117" s="57" t="inlineStr">
        <is>
          <t>nialiokakauhe16@gmail.com</t>
        </is>
      </c>
      <c r="D117" s="57" t="inlineStr">
        <is>
          <t>PCL</t>
        </is>
      </c>
      <c r="E117" s="57" t="inlineStr">
        <is>
          <t>(080) MANGANITU</t>
        </is>
      </c>
      <c r="F117" s="58" t="n">
        <v>330</v>
      </c>
      <c r="G117" s="58" t="n">
        <v>22</v>
      </c>
      <c r="H117" s="59">
        <f>F117+G117</f>
        <v/>
      </c>
      <c r="I117" s="60" t="n">
        <v>21</v>
      </c>
      <c r="J117" s="60" t="n">
        <v>4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21</v>
      </c>
      <c r="P117" s="64" t="n">
        <v>41</v>
      </c>
      <c r="Q117" s="65">
        <f>P117-O117</f>
        <v/>
      </c>
      <c r="R117" s="66" t="n">
        <v>4</v>
      </c>
      <c r="S117" s="66" t="n">
        <v>3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194</v>
      </c>
      <c r="Y117" s="69" t="n">
        <v>14</v>
      </c>
      <c r="Z117" s="70">
        <f>X117+Y117</f>
        <v/>
      </c>
      <c r="AA117" s="71" t="n">
        <v>173</v>
      </c>
      <c r="AB117" s="71" t="n">
        <v>10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Jeisy Dolongseda</t>
        </is>
      </c>
      <c r="C118" s="57" t="inlineStr">
        <is>
          <t>dolongsedajeisyprechilya@gmail.com</t>
        </is>
      </c>
      <c r="D118" s="57" t="inlineStr">
        <is>
          <t>PCL</t>
        </is>
      </c>
      <c r="E118" s="57" t="inlineStr">
        <is>
          <t>(070) TABUKAN TENGAH</t>
        </is>
      </c>
      <c r="F118" s="58" t="n">
        <v>292</v>
      </c>
      <c r="G118" s="58" t="n">
        <v>14</v>
      </c>
      <c r="H118" s="59">
        <f>F118+G118</f>
        <v/>
      </c>
      <c r="I118" s="60" t="n">
        <v>31</v>
      </c>
      <c r="J118" s="60" t="n">
        <v>1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31</v>
      </c>
      <c r="P118" s="64" t="n">
        <v>31</v>
      </c>
      <c r="Q118" s="65">
        <f>P118-O118</f>
        <v/>
      </c>
      <c r="R118" s="66" t="n">
        <v>1</v>
      </c>
      <c r="S118" s="66" t="n">
        <v>1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174</v>
      </c>
      <c r="Y118" s="69" t="n">
        <v>6</v>
      </c>
      <c r="Z118" s="70">
        <f>X118+Y118</f>
        <v/>
      </c>
      <c r="AA118" s="71" t="n">
        <v>143</v>
      </c>
      <c r="AB118" s="71" t="n">
        <v>5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Yosias Budiman Monok</t>
        </is>
      </c>
      <c r="C119" s="57" t="inlineStr">
        <is>
          <t>josias.monok@gmail.com</t>
        </is>
      </c>
      <c r="D119" s="57" t="inlineStr">
        <is>
          <t>PCL</t>
        </is>
      </c>
      <c r="E119" s="57" t="inlineStr">
        <is>
          <t>(080) MANGANITU</t>
        </is>
      </c>
      <c r="F119" s="58" t="n">
        <v>349</v>
      </c>
      <c r="G119" s="58" t="n">
        <v>20</v>
      </c>
      <c r="H119" s="59">
        <f>F119+G119</f>
        <v/>
      </c>
      <c r="I119" s="60" t="n">
        <v>26</v>
      </c>
      <c r="J119" s="60" t="n">
        <v>7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26</v>
      </c>
      <c r="P119" s="64" t="n">
        <v>48</v>
      </c>
      <c r="Q119" s="65">
        <f>P119-O119</f>
        <v/>
      </c>
      <c r="R119" s="66" t="n">
        <v>7</v>
      </c>
      <c r="S119" s="66" t="n">
        <v>4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201</v>
      </c>
      <c r="Y119" s="69" t="n">
        <v>16</v>
      </c>
      <c r="Z119" s="70">
        <f>X119+Y119</f>
        <v/>
      </c>
      <c r="AA119" s="71" t="n">
        <v>175</v>
      </c>
      <c r="AB119" s="71" t="n">
        <v>9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Yesika Angelin Guwaunaung</t>
        </is>
      </c>
      <c r="C120" s="57" t="inlineStr">
        <is>
          <t>angelinguwaunaung@gmail.com</t>
        </is>
      </c>
      <c r="D120" s="57" t="inlineStr">
        <is>
          <t>PCL</t>
        </is>
      </c>
      <c r="E120" s="57" t="inlineStr">
        <is>
          <t>(080) MANGANITU</t>
        </is>
      </c>
      <c r="F120" s="58" t="n">
        <v>304</v>
      </c>
      <c r="G120" s="58" t="n">
        <v>28</v>
      </c>
      <c r="H120" s="59">
        <f>F120+G120</f>
        <v/>
      </c>
      <c r="I120" s="60" t="n">
        <v>29</v>
      </c>
      <c r="J120" s="60" t="n">
        <v>5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29</v>
      </c>
      <c r="P120" s="64" t="n">
        <v>63</v>
      </c>
      <c r="Q120" s="65">
        <f>P120-O120</f>
        <v/>
      </c>
      <c r="R120" s="66" t="n">
        <v>5</v>
      </c>
      <c r="S120" s="66" t="n">
        <v>4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176</v>
      </c>
      <c r="Y120" s="69" t="n">
        <v>17</v>
      </c>
      <c r="Z120" s="70">
        <f>X120+Y120</f>
        <v/>
      </c>
      <c r="AA120" s="71" t="n">
        <v>147</v>
      </c>
      <c r="AB120" s="71" t="n">
        <v>12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Suryaningsi Dorthea Lalompoh</t>
        </is>
      </c>
      <c r="C121" s="57" t="inlineStr">
        <is>
          <t>indrydorthea@gmail.com</t>
        </is>
      </c>
      <c r="D121" s="57" t="inlineStr">
        <is>
          <t>PCL</t>
        </is>
      </c>
      <c r="E121" s="57" t="inlineStr">
        <is>
          <t>(070) TABUKAN TENGAH</t>
        </is>
      </c>
      <c r="F121" s="58" t="n">
        <v>296</v>
      </c>
      <c r="G121" s="58" t="n">
        <v>29</v>
      </c>
      <c r="H121" s="59">
        <f>F121+G121</f>
        <v/>
      </c>
      <c r="I121" s="60" t="n">
        <v>24</v>
      </c>
      <c r="J121" s="60" t="n">
        <v>10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24</v>
      </c>
      <c r="P121" s="64" t="n">
        <v>85</v>
      </c>
      <c r="Q121" s="65">
        <f>P121-O121</f>
        <v/>
      </c>
      <c r="R121" s="66" t="n">
        <v>10</v>
      </c>
      <c r="S121" s="66" t="n">
        <v>8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164</v>
      </c>
      <c r="Y121" s="69" t="n">
        <v>24</v>
      </c>
      <c r="Z121" s="70">
        <f>X121+Y121</f>
        <v/>
      </c>
      <c r="AA121" s="71" t="n">
        <v>140</v>
      </c>
      <c r="AB121" s="71" t="n">
        <v>14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Aditya Christovel Hangau</t>
        </is>
      </c>
      <c r="C122" s="57" t="inlineStr">
        <is>
          <t>adityahangau@gmail.com</t>
        </is>
      </c>
      <c r="D122" s="57" t="inlineStr">
        <is>
          <t>PCL</t>
        </is>
      </c>
      <c r="E122" s="57" t="inlineStr">
        <is>
          <t>(090) TAHUNA</t>
        </is>
      </c>
      <c r="F122" s="58" t="n">
        <v>347</v>
      </c>
      <c r="G122" s="58" t="n">
        <v>39</v>
      </c>
      <c r="H122" s="59">
        <f>F122+G122</f>
        <v/>
      </c>
      <c r="I122" s="60" t="n">
        <v>80</v>
      </c>
      <c r="J122" s="60" t="n">
        <v>19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80</v>
      </c>
      <c r="P122" s="64" t="n">
        <v>23</v>
      </c>
      <c r="Q122" s="65">
        <f>P122-O122</f>
        <v/>
      </c>
      <c r="R122" s="66" t="n">
        <v>19</v>
      </c>
      <c r="S122" s="66" t="n">
        <v>7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196</v>
      </c>
      <c r="Y122" s="69" t="n">
        <v>27</v>
      </c>
      <c r="Z122" s="70">
        <f>X122+Y122</f>
        <v/>
      </c>
      <c r="AA122" s="71" t="n">
        <v>116</v>
      </c>
      <c r="AB122" s="71" t="n">
        <v>8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Ivan Christian Sasenga</t>
        </is>
      </c>
      <c r="C123" s="57" t="inlineStr">
        <is>
          <t>sasengaivan@gmail.com</t>
        </is>
      </c>
      <c r="D123" s="57" t="inlineStr">
        <is>
          <t>PCL</t>
        </is>
      </c>
      <c r="E123" s="57" t="inlineStr">
        <is>
          <t>(090) TAHUNA</t>
        </is>
      </c>
      <c r="F123" s="58" t="n">
        <v>340</v>
      </c>
      <c r="G123" s="58" t="n">
        <v>57</v>
      </c>
      <c r="H123" s="59">
        <f>F123+G123</f>
        <v/>
      </c>
      <c r="I123" s="60" t="n">
        <v>58</v>
      </c>
      <c r="J123" s="60" t="n">
        <v>13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58</v>
      </c>
      <c r="P123" s="64" t="n">
        <v>53</v>
      </c>
      <c r="Q123" s="65">
        <f>P123-O123</f>
        <v/>
      </c>
      <c r="R123" s="66" t="n">
        <v>13</v>
      </c>
      <c r="S123" s="66" t="n">
        <v>5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200</v>
      </c>
      <c r="Y123" s="69" t="n">
        <v>28</v>
      </c>
      <c r="Z123" s="70">
        <f>X123+Y123</f>
        <v/>
      </c>
      <c r="AA123" s="71" t="n">
        <v>142</v>
      </c>
      <c r="AB123" s="71" t="n">
        <v>15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Priskila Bawotong</t>
        </is>
      </c>
      <c r="C124" s="57" t="inlineStr">
        <is>
          <t>priskilabawotong@gmail.com</t>
        </is>
      </c>
      <c r="D124" s="57" t="inlineStr">
        <is>
          <t>PCL</t>
        </is>
      </c>
      <c r="E124" s="57" t="inlineStr">
        <is>
          <t>(080) MANGANITU</t>
        </is>
      </c>
      <c r="F124" s="58" t="n">
        <v>312</v>
      </c>
      <c r="G124" s="58" t="n">
        <v>32</v>
      </c>
      <c r="H124" s="59">
        <f>F124+G124</f>
        <v/>
      </c>
      <c r="I124" s="60" t="n">
        <v>8</v>
      </c>
      <c r="J124" s="60" t="n">
        <v>12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8</v>
      </c>
      <c r="P124" s="64" t="n">
        <v>45</v>
      </c>
      <c r="Q124" s="65">
        <f>P124-O124</f>
        <v/>
      </c>
      <c r="R124" s="66" t="n">
        <v>12</v>
      </c>
      <c r="S124" s="66" t="n">
        <v>4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171</v>
      </c>
      <c r="Y124" s="69" t="n">
        <v>24</v>
      </c>
      <c r="Z124" s="70">
        <f>X124+Y124</f>
        <v/>
      </c>
      <c r="AA124" s="71" t="n">
        <v>163</v>
      </c>
      <c r="AB124" s="71" t="n">
        <v>12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Septian Gilbert Wuisan</t>
        </is>
      </c>
      <c r="C125" s="57" t="inlineStr">
        <is>
          <t>septianglbrtw97@gmail.com</t>
        </is>
      </c>
      <c r="D125" s="57" t="inlineStr">
        <is>
          <t>PCL</t>
        </is>
      </c>
      <c r="E125" s="57" t="inlineStr">
        <is>
          <t>(090) TAHUNA</t>
        </is>
      </c>
      <c r="F125" s="58" t="n">
        <v>356</v>
      </c>
      <c r="G125" s="58" t="n">
        <v>43</v>
      </c>
      <c r="H125" s="59">
        <f>F125+G125</f>
        <v/>
      </c>
      <c r="I125" s="60" t="n">
        <v>74</v>
      </c>
      <c r="J125" s="60" t="n">
        <v>14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74</v>
      </c>
      <c r="P125" s="64" t="n">
        <v>28</v>
      </c>
      <c r="Q125" s="65">
        <f>P125-O125</f>
        <v/>
      </c>
      <c r="R125" s="66" t="n">
        <v>14</v>
      </c>
      <c r="S125" s="66" t="n">
        <v>5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206</v>
      </c>
      <c r="Y125" s="69" t="n">
        <v>20</v>
      </c>
      <c r="Z125" s="70">
        <f>X125+Y125</f>
        <v/>
      </c>
      <c r="AA125" s="71" t="n">
        <v>132</v>
      </c>
      <c r="AB125" s="71" t="n">
        <v>6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Bayu Sutiyono Dujoh</t>
        </is>
      </c>
      <c r="C126" s="57" t="inlineStr">
        <is>
          <t>bayuduyoh998@gmail.com</t>
        </is>
      </c>
      <c r="D126" s="57" t="inlineStr">
        <is>
          <t>PCL</t>
        </is>
      </c>
      <c r="E126" s="57" t="inlineStr">
        <is>
          <t>(090) TAHUNA</t>
        </is>
      </c>
      <c r="F126" s="58" t="n">
        <v>315</v>
      </c>
      <c r="G126" s="58" t="n">
        <v>51</v>
      </c>
      <c r="H126" s="59">
        <f>F126+G126</f>
        <v/>
      </c>
      <c r="I126" s="60" t="n">
        <v>58</v>
      </c>
      <c r="J126" s="60" t="n">
        <v>20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58</v>
      </c>
      <c r="P126" s="64" t="n">
        <v>17</v>
      </c>
      <c r="Q126" s="65">
        <f>P126-O126</f>
        <v/>
      </c>
      <c r="R126" s="66" t="n">
        <v>20</v>
      </c>
      <c r="S126" s="66" t="n">
        <v>2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179</v>
      </c>
      <c r="Y126" s="69" t="n">
        <v>26</v>
      </c>
      <c r="Z126" s="70">
        <f>X126+Y126</f>
        <v/>
      </c>
      <c r="AA126" s="71" t="n">
        <v>121</v>
      </c>
      <c r="AB126" s="71" t="n">
        <v>6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Svidania Kundiman</t>
        </is>
      </c>
      <c r="C127" s="57" t="inlineStr">
        <is>
          <t>spidaniakundimang@gmail.com</t>
        </is>
      </c>
      <c r="D127" s="57" t="inlineStr">
        <is>
          <t>PCL</t>
        </is>
      </c>
      <c r="E127" s="57" t="inlineStr">
        <is>
          <t>(070) TABUKAN TENGAH</t>
        </is>
      </c>
      <c r="F127" s="58" t="n">
        <v>309</v>
      </c>
      <c r="G127" s="58" t="n">
        <v>25</v>
      </c>
      <c r="H127" s="59">
        <f>F127+G127</f>
        <v/>
      </c>
      <c r="I127" s="60" t="n">
        <v>38</v>
      </c>
      <c r="J127" s="60" t="n">
        <v>8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38</v>
      </c>
      <c r="P127" s="64" t="n">
        <v>40</v>
      </c>
      <c r="Q127" s="65">
        <f>P127-O127</f>
        <v/>
      </c>
      <c r="R127" s="66" t="n">
        <v>8</v>
      </c>
      <c r="S127" s="66" t="n">
        <v>6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164</v>
      </c>
      <c r="Y127" s="69" t="n">
        <v>21</v>
      </c>
      <c r="Z127" s="70">
        <f>X127+Y127</f>
        <v/>
      </c>
      <c r="AA127" s="71" t="n">
        <v>126</v>
      </c>
      <c r="AB127" s="71" t="n">
        <v>13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Dince Lahaube</t>
        </is>
      </c>
      <c r="C128" s="57" t="inlineStr">
        <is>
          <t>dincelahaube09@gmail.com</t>
        </is>
      </c>
      <c r="D128" s="57" t="inlineStr">
        <is>
          <t>PCL</t>
        </is>
      </c>
      <c r="E128" s="57" t="inlineStr">
        <is>
          <t>(041) TATOARENG</t>
        </is>
      </c>
      <c r="F128" s="58" t="n">
        <v>294</v>
      </c>
      <c r="G128" s="58" t="n">
        <v>15</v>
      </c>
      <c r="H128" s="59">
        <f>F128+G128</f>
        <v/>
      </c>
      <c r="I128" s="60" t="n">
        <v>45</v>
      </c>
      <c r="J128" s="60" t="n">
        <v>2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45</v>
      </c>
      <c r="P128" s="64" t="n">
        <v>9</v>
      </c>
      <c r="Q128" s="65">
        <f>P128-O128</f>
        <v/>
      </c>
      <c r="R128" s="66" t="n">
        <v>2</v>
      </c>
      <c r="S128" s="66" t="n">
        <v>0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164</v>
      </c>
      <c r="Y128" s="69" t="n">
        <v>7</v>
      </c>
      <c r="Z128" s="70">
        <f>X128+Y128</f>
        <v/>
      </c>
      <c r="AA128" s="71" t="n">
        <v>119</v>
      </c>
      <c r="AB128" s="71" t="n">
        <v>5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Adriano Arga Takahopekang</t>
        </is>
      </c>
      <c r="C129" s="57" t="inlineStr">
        <is>
          <t>adrianoargatakahopekang@gmail.com</t>
        </is>
      </c>
      <c r="D129" s="57" t="inlineStr">
        <is>
          <t>PCL</t>
        </is>
      </c>
      <c r="E129" s="57" t="inlineStr">
        <is>
          <t>(090) TAHUNA</t>
        </is>
      </c>
      <c r="F129" s="58" t="n">
        <v>321</v>
      </c>
      <c r="G129" s="58" t="n">
        <v>29</v>
      </c>
      <c r="H129" s="59">
        <f>F129+G129</f>
        <v/>
      </c>
      <c r="I129" s="60" t="n">
        <v>78</v>
      </c>
      <c r="J129" s="60" t="n">
        <v>9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78</v>
      </c>
      <c r="P129" s="64" t="n">
        <v>30</v>
      </c>
      <c r="Q129" s="65">
        <f>P129-O129</f>
        <v/>
      </c>
      <c r="R129" s="66" t="n">
        <v>9</v>
      </c>
      <c r="S129" s="66" t="n">
        <v>0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183</v>
      </c>
      <c r="Y129" s="69" t="n">
        <v>10</v>
      </c>
      <c r="Z129" s="70">
        <f>X129+Y129</f>
        <v/>
      </c>
      <c r="AA129" s="71" t="n">
        <v>105</v>
      </c>
      <c r="AB129" s="71" t="n">
        <v>1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Jeklen Malage Dalita</t>
        </is>
      </c>
      <c r="C130" s="57" t="inlineStr">
        <is>
          <t>jeklendalita158@gmail.com</t>
        </is>
      </c>
      <c r="D130" s="57" t="inlineStr">
        <is>
          <t>PCL</t>
        </is>
      </c>
      <c r="E130" s="57" t="inlineStr">
        <is>
          <t>(070) TABUKAN TENGAH</t>
        </is>
      </c>
      <c r="F130" s="58" t="n">
        <v>308</v>
      </c>
      <c r="G130" s="58" t="n">
        <v>44</v>
      </c>
      <c r="H130" s="59">
        <f>F130+G130</f>
        <v/>
      </c>
      <c r="I130" s="60" t="n">
        <v>27</v>
      </c>
      <c r="J130" s="60" t="n">
        <v>8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27</v>
      </c>
      <c r="P130" s="64" t="n">
        <v>37</v>
      </c>
      <c r="Q130" s="65">
        <f>P130-O130</f>
        <v/>
      </c>
      <c r="R130" s="66" t="n">
        <v>8</v>
      </c>
      <c r="S130" s="66" t="n">
        <v>11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171</v>
      </c>
      <c r="Y130" s="69" t="n">
        <v>22</v>
      </c>
      <c r="Z130" s="70">
        <f>X130+Y130</f>
        <v/>
      </c>
      <c r="AA130" s="71" t="n">
        <v>144</v>
      </c>
      <c r="AB130" s="71" t="n">
        <v>14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Mabelkhan Ladorang</t>
        </is>
      </c>
      <c r="C131" s="57" t="inlineStr">
        <is>
          <t>mabelkhanladorang777@gmail.com</t>
        </is>
      </c>
      <c r="D131" s="57" t="inlineStr">
        <is>
          <t>PCL</t>
        </is>
      </c>
      <c r="E131" s="57" t="inlineStr">
        <is>
          <t>(061) TABUKAN SELATAN TENGAH &amp; (062) TABUKAN SELATAN TENGGARA</t>
        </is>
      </c>
      <c r="F131" s="58" t="n">
        <v>253</v>
      </c>
      <c r="G131" s="58" t="n">
        <v>26</v>
      </c>
      <c r="H131" s="59">
        <f>F131+G131</f>
        <v/>
      </c>
      <c r="I131" s="60" t="n">
        <v>11</v>
      </c>
      <c r="J131" s="60" t="n">
        <v>9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11</v>
      </c>
      <c r="P131" s="64" t="n">
        <v>11</v>
      </c>
      <c r="Q131" s="65">
        <f>P131-O131</f>
        <v/>
      </c>
      <c r="R131" s="66" t="n">
        <v>9</v>
      </c>
      <c r="S131" s="66" t="n">
        <v>1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135</v>
      </c>
      <c r="Y131" s="69" t="n">
        <v>13</v>
      </c>
      <c r="Z131" s="70">
        <f>X131+Y131</f>
        <v/>
      </c>
      <c r="AA131" s="71" t="n">
        <v>124</v>
      </c>
      <c r="AB131" s="71" t="n">
        <v>4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Iramaya Sasiang</t>
        </is>
      </c>
      <c r="C132" s="57" t="inlineStr">
        <is>
          <t>sasiangmaya80@gmail.com</t>
        </is>
      </c>
      <c r="D132" s="57" t="inlineStr">
        <is>
          <t>PCL</t>
        </is>
      </c>
      <c r="E132" s="57" t="inlineStr">
        <is>
          <t>(102) KEPULAUAN MARORE</t>
        </is>
      </c>
      <c r="F132" s="58" t="n">
        <v>411</v>
      </c>
      <c r="G132" s="58" t="n">
        <v>41</v>
      </c>
      <c r="H132" s="59">
        <f>F132+G132</f>
        <v/>
      </c>
      <c r="I132" s="60" t="n">
        <v>43</v>
      </c>
      <c r="J132" s="60" t="n">
        <v>18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43</v>
      </c>
      <c r="P132" s="64" t="n">
        <v>35</v>
      </c>
      <c r="Q132" s="65">
        <f>P132-O132</f>
        <v/>
      </c>
      <c r="R132" s="66" t="n">
        <v>18</v>
      </c>
      <c r="S132" s="66" t="n">
        <v>7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194</v>
      </c>
      <c r="Y132" s="69" t="n">
        <v>41</v>
      </c>
      <c r="Z132" s="70">
        <f>X132+Y132</f>
        <v/>
      </c>
      <c r="AA132" s="71" t="n">
        <v>151</v>
      </c>
      <c r="AB132" s="71" t="n">
        <v>23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Marwesley Iverson Matheos</t>
        </is>
      </c>
      <c r="C133" s="57" t="inlineStr">
        <is>
          <t>matheosmarwesley@gmail.com</t>
        </is>
      </c>
      <c r="D133" s="57" t="inlineStr">
        <is>
          <t>PCL</t>
        </is>
      </c>
      <c r="E133" s="57" t="inlineStr">
        <is>
          <t>(070) TABUKAN TENGAH</t>
        </is>
      </c>
      <c r="F133" s="58" t="n">
        <v>323</v>
      </c>
      <c r="G133" s="58" t="n">
        <v>18</v>
      </c>
      <c r="H133" s="59">
        <f>F133+G133</f>
        <v/>
      </c>
      <c r="I133" s="60" t="n">
        <v>21</v>
      </c>
      <c r="J133" s="60" t="n">
        <v>1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21</v>
      </c>
      <c r="P133" s="64" t="n">
        <v>31</v>
      </c>
      <c r="Q133" s="65">
        <f>P133-O133</f>
        <v/>
      </c>
      <c r="R133" s="66" t="n">
        <v>1</v>
      </c>
      <c r="S133" s="66" t="n">
        <v>1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167</v>
      </c>
      <c r="Y133" s="69" t="n">
        <v>3</v>
      </c>
      <c r="Z133" s="70">
        <f>X133+Y133</f>
        <v/>
      </c>
      <c r="AA133" s="71" t="n">
        <v>146</v>
      </c>
      <c r="AB133" s="71" t="n">
        <v>2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Aldo Jhon Mesak Bangonang</t>
        </is>
      </c>
      <c r="C134" s="57" t="inlineStr">
        <is>
          <t>mesakbangonang99@gmail.com</t>
        </is>
      </c>
      <c r="D134" s="57" t="inlineStr">
        <is>
          <t>PCL</t>
        </is>
      </c>
      <c r="E134" s="57" t="inlineStr">
        <is>
          <t>(091) TAHUNA TIMUR</t>
        </is>
      </c>
      <c r="F134" s="58" t="n">
        <v>312</v>
      </c>
      <c r="G134" s="58" t="n">
        <v>47</v>
      </c>
      <c r="H134" s="59">
        <f>F134+G134</f>
        <v/>
      </c>
      <c r="I134" s="60" t="n">
        <v>12</v>
      </c>
      <c r="J134" s="60" t="n">
        <v>5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12</v>
      </c>
      <c r="P134" s="64" t="n">
        <v>16</v>
      </c>
      <c r="Q134" s="65">
        <f>P134-O134</f>
        <v/>
      </c>
      <c r="R134" s="66" t="n">
        <v>5</v>
      </c>
      <c r="S134" s="66" t="n">
        <v>3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144</v>
      </c>
      <c r="Y134" s="69" t="n">
        <v>12</v>
      </c>
      <c r="Z134" s="70">
        <f>X134+Y134</f>
        <v/>
      </c>
      <c r="AA134" s="71" t="n">
        <v>132</v>
      </c>
      <c r="AB134" s="71" t="n">
        <v>7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  <row r="135">
      <c r="A135" s="56" t="n">
        <v>132</v>
      </c>
      <c r="B135" s="57" t="inlineStr"/>
      <c r="C135" s="57" t="inlineStr">
        <is>
          <t>unassigned</t>
        </is>
      </c>
      <c r="D135" s="57" t="inlineStr">
        <is>
          <t>PCL</t>
        </is>
      </c>
      <c r="E135" s="57" t="inlineStr"/>
      <c r="F135" s="58" t="n">
        <v>0</v>
      </c>
      <c r="G135" s="58" t="n">
        <v>12</v>
      </c>
      <c r="H135" s="59">
        <f>F135+G135</f>
        <v/>
      </c>
      <c r="I135" s="60" t="n">
        <v>0</v>
      </c>
      <c r="J135" s="60" t="n">
        <v>0</v>
      </c>
      <c r="K135" s="61">
        <f>I135+J135</f>
        <v/>
      </c>
      <c r="L135" s="62">
        <f>F135-I135</f>
        <v/>
      </c>
      <c r="M135" s="62">
        <f>G135-J135</f>
        <v/>
      </c>
      <c r="N135" s="63">
        <f>L135+M135</f>
        <v/>
      </c>
      <c r="O135" s="64" t="n">
        <v>0</v>
      </c>
      <c r="P135" s="64" t="n">
        <v>0</v>
      </c>
      <c r="Q135" s="65">
        <f>P135-O135</f>
        <v/>
      </c>
      <c r="R135" s="66" t="n">
        <v>0</v>
      </c>
      <c r="S135" s="66" t="n">
        <v>0</v>
      </c>
      <c r="T135" s="67">
        <f>S135-R135</f>
        <v/>
      </c>
      <c r="U135" s="68">
        <f>O135+R135</f>
        <v/>
      </c>
      <c r="V135" s="68">
        <f>P135+S135</f>
        <v/>
      </c>
      <c r="W135" s="68">
        <f>V135-U135</f>
        <v/>
      </c>
      <c r="X135" s="69" t="n">
        <v>0</v>
      </c>
      <c r="Y135" s="69" t="n">
        <v>0</v>
      </c>
      <c r="Z135" s="70">
        <f>X135+Y135</f>
        <v/>
      </c>
      <c r="AA135" s="71" t="n">
        <v>0</v>
      </c>
      <c r="AB135" s="71" t="n">
        <v>0</v>
      </c>
      <c r="AC135" s="72">
        <f>AA135+AB135</f>
        <v/>
      </c>
      <c r="AD135" s="73">
        <f>X135/F135</f>
        <v/>
      </c>
      <c r="AE135" s="73">
        <f>Y135/G135</f>
        <v/>
      </c>
      <c r="AF135" s="73">
        <f>Z135/H135</f>
        <v/>
      </c>
      <c r="AG135" s="73">
        <f>AA135/F135</f>
        <v/>
      </c>
      <c r="AH135" s="73">
        <f>AB135/G135</f>
        <v/>
      </c>
      <c r="AI135" s="73">
        <f>AC135/H135</f>
        <v/>
      </c>
      <c r="AJ135" s="73">
        <f>X135/L135</f>
        <v/>
      </c>
      <c r="AK135" s="73">
        <f>Y135/M135</f>
        <v/>
      </c>
      <c r="AL135" s="73">
        <f>Z135/N135</f>
        <v/>
      </c>
      <c r="AM135" s="73">
        <f>AA135/L135</f>
        <v/>
      </c>
      <c r="AN135" s="73">
        <f>AB135/M135</f>
        <v/>
      </c>
      <c r="AO135" s="73">
        <f>AC135/N135</f>
        <v/>
      </c>
    </row>
  </sheetData>
  <autoFilter ref="A3:AO3">
    <sortState ref="A5:AO134">
      <sortCondition descending="1" ref="AI3"/>
    </sortState>
  </autoFilter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133 AI4:AI133 AL4:AL133 AO4:AO133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27"/>
  <sheetViews>
    <sheetView workbookViewId="0">
      <selection activeCell="A1" sqref="A1:AO27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hidden="1" width="7.36328125" customWidth="1" min="4" max="4"/>
    <col width="60.36328125" bestFit="1" customWidth="1" min="5" max="5"/>
    <col hidden="1" width="8.7265625" customWidth="1" min="6" max="14"/>
    <col hidden="1"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>
        <is>
          <t>Yohana Sapar</t>
        </is>
      </c>
      <c r="C4" s="57" t="inlineStr">
        <is>
          <t>saparyohana@gmail.com</t>
        </is>
      </c>
      <c r="D4" s="57" t="inlineStr">
        <is>
          <t>PML</t>
        </is>
      </c>
      <c r="E4" s="57" t="inlineStr">
        <is>
          <t>(100) TABUKAN UTARA</t>
        </is>
      </c>
      <c r="F4" s="58" t="n">
        <v>1888</v>
      </c>
      <c r="G4" s="58" t="n">
        <v>216</v>
      </c>
      <c r="H4" s="59">
        <f>F4+G4</f>
        <v/>
      </c>
      <c r="I4" s="60" t="n">
        <v>321</v>
      </c>
      <c r="J4" s="60" t="n">
        <v>141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321</v>
      </c>
      <c r="P4" s="64" t="n">
        <v>344</v>
      </c>
      <c r="Q4" s="65">
        <f>P4-O4</f>
        <v/>
      </c>
      <c r="R4" s="66" t="n">
        <v>141</v>
      </c>
      <c r="S4" s="66" t="n">
        <v>93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1802</v>
      </c>
      <c r="Y4" s="69" t="n">
        <v>288</v>
      </c>
      <c r="Z4" s="70">
        <f>X4+Y4</f>
        <v/>
      </c>
      <c r="AA4" s="71" t="n">
        <v>1481</v>
      </c>
      <c r="AB4" s="71" t="n">
        <v>147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Sutrisno Sariang</t>
        </is>
      </c>
      <c r="C5" s="57" t="inlineStr">
        <is>
          <t>sutrisnosariang90@gmail.com</t>
        </is>
      </c>
      <c r="D5" s="57" t="inlineStr">
        <is>
          <t>PML</t>
        </is>
      </c>
      <c r="E5" s="57" t="inlineStr">
        <is>
          <t>(100) TABUKAN UTARA &amp; (101) NUSA TABUKAN</t>
        </is>
      </c>
      <c r="F5" s="58" t="n">
        <v>1646</v>
      </c>
      <c r="G5" s="58" t="n">
        <v>227</v>
      </c>
      <c r="H5" s="59">
        <f>F5+G5</f>
        <v/>
      </c>
      <c r="I5" s="60" t="n">
        <v>126</v>
      </c>
      <c r="J5" s="60" t="n">
        <v>92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126</v>
      </c>
      <c r="P5" s="64" t="n">
        <v>305</v>
      </c>
      <c r="Q5" s="65">
        <f>P5-O5</f>
        <v/>
      </c>
      <c r="R5" s="66" t="n">
        <v>92</v>
      </c>
      <c r="S5" s="66" t="n">
        <v>116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1369</v>
      </c>
      <c r="Y5" s="69" t="n">
        <v>282</v>
      </c>
      <c r="Z5" s="70">
        <f>X5+Y5</f>
        <v/>
      </c>
      <c r="AA5" s="71" t="n">
        <v>1243</v>
      </c>
      <c r="AB5" s="71" t="n">
        <v>190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Simson Petiunaung</t>
        </is>
      </c>
      <c r="C6" s="57" t="inlineStr">
        <is>
          <t>simsonpetiunaung@gmail.com</t>
        </is>
      </c>
      <c r="D6" s="57" t="inlineStr">
        <is>
          <t>PML</t>
        </is>
      </c>
      <c r="E6" s="57" t="inlineStr">
        <is>
          <t>(060) TABUKAN SELATAN</t>
        </is>
      </c>
      <c r="F6" s="58" t="n">
        <v>1837</v>
      </c>
      <c r="G6" s="58" t="n">
        <v>406</v>
      </c>
      <c r="H6" s="59">
        <f>F6+G6</f>
        <v/>
      </c>
      <c r="I6" s="60" t="n">
        <v>289</v>
      </c>
      <c r="J6" s="60" t="n">
        <v>128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289</v>
      </c>
      <c r="P6" s="64" t="n">
        <v>280</v>
      </c>
      <c r="Q6" s="65">
        <f>P6-O6</f>
        <v/>
      </c>
      <c r="R6" s="66" t="n">
        <v>128</v>
      </c>
      <c r="S6" s="66" t="n">
        <v>83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1624</v>
      </c>
      <c r="Y6" s="69" t="n">
        <v>352</v>
      </c>
      <c r="Z6" s="70">
        <f>X6+Y6</f>
        <v/>
      </c>
      <c r="AA6" s="71" t="n">
        <v>1335</v>
      </c>
      <c r="AB6" s="71" t="n">
        <v>224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Johny Steven Manoppo</t>
        </is>
      </c>
      <c r="C7" s="57" t="inlineStr">
        <is>
          <t>stevenmanoppo36@gmail.com</t>
        </is>
      </c>
      <c r="D7" s="57" t="inlineStr">
        <is>
          <t>PML</t>
        </is>
      </c>
      <c r="E7" s="57" t="inlineStr">
        <is>
          <t>(040) MANGANITU SELATAN</t>
        </is>
      </c>
      <c r="F7" s="58" t="n">
        <v>1541</v>
      </c>
      <c r="G7" s="58" t="n">
        <v>279</v>
      </c>
      <c r="H7" s="59">
        <f>F7+G7</f>
        <v/>
      </c>
      <c r="I7" s="60" t="n">
        <v>260</v>
      </c>
      <c r="J7" s="60" t="n">
        <v>99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260</v>
      </c>
      <c r="P7" s="64" t="n">
        <v>163</v>
      </c>
      <c r="Q7" s="65">
        <f>P7-O7</f>
        <v/>
      </c>
      <c r="R7" s="66" t="n">
        <v>99</v>
      </c>
      <c r="S7" s="66" t="n">
        <v>23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1361</v>
      </c>
      <c r="Y7" s="69" t="n">
        <v>216</v>
      </c>
      <c r="Z7" s="70">
        <f>X7+Y7</f>
        <v/>
      </c>
      <c r="AA7" s="71" t="n">
        <v>1101</v>
      </c>
      <c r="AB7" s="71" t="n">
        <v>117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Charly Angel Tatontos</t>
        </is>
      </c>
      <c r="C8" s="57" t="inlineStr">
        <is>
          <t>tatontoscharly@gmail.com</t>
        </is>
      </c>
      <c r="D8" s="57" t="inlineStr">
        <is>
          <t>PML</t>
        </is>
      </c>
      <c r="E8" s="57" t="inlineStr">
        <is>
          <t>(050) TAMAKO</t>
        </is>
      </c>
      <c r="F8" s="58" t="n">
        <v>1882</v>
      </c>
      <c r="G8" s="58" t="n">
        <v>327</v>
      </c>
      <c r="H8" s="59">
        <f>F8+G8</f>
        <v/>
      </c>
      <c r="I8" s="60" t="n">
        <v>334</v>
      </c>
      <c r="J8" s="60" t="n">
        <v>123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334</v>
      </c>
      <c r="P8" s="64" t="n">
        <v>237</v>
      </c>
      <c r="Q8" s="65">
        <f>P8-O8</f>
        <v/>
      </c>
      <c r="R8" s="66" t="n">
        <v>123</v>
      </c>
      <c r="S8" s="66" t="n">
        <v>142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1567</v>
      </c>
      <c r="Y8" s="69" t="n">
        <v>344</v>
      </c>
      <c r="Z8" s="70">
        <f>X8+Y8</f>
        <v/>
      </c>
      <c r="AA8" s="71" t="n">
        <v>1233</v>
      </c>
      <c r="AB8" s="71" t="n">
        <v>221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Fresly Jeica Manangkoda</t>
        </is>
      </c>
      <c r="C9" s="57" t="inlineStr">
        <is>
          <t>fmanangkoda12@gmail.com</t>
        </is>
      </c>
      <c r="D9" s="57" t="inlineStr">
        <is>
          <t>PML</t>
        </is>
      </c>
      <c r="E9" s="57" t="inlineStr">
        <is>
          <t>(050) TAMAKO</t>
        </is>
      </c>
      <c r="F9" s="58" t="n">
        <v>2079</v>
      </c>
      <c r="G9" s="58" t="n">
        <v>169</v>
      </c>
      <c r="H9" s="59">
        <f>F9+G9</f>
        <v/>
      </c>
      <c r="I9" s="60" t="n">
        <v>392</v>
      </c>
      <c r="J9" s="60" t="n">
        <v>83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392</v>
      </c>
      <c r="P9" s="64" t="n">
        <v>188</v>
      </c>
      <c r="Q9" s="65">
        <f>P9-O9</f>
        <v/>
      </c>
      <c r="R9" s="66" t="n">
        <v>83</v>
      </c>
      <c r="S9" s="66" t="n">
        <v>77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1667</v>
      </c>
      <c r="Y9" s="69" t="n">
        <v>197</v>
      </c>
      <c r="Z9" s="70">
        <f>X9+Y9</f>
        <v/>
      </c>
      <c r="AA9" s="71" t="n">
        <v>1275</v>
      </c>
      <c r="AB9" s="71" t="n">
        <v>114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Jeferson Manahampi</t>
        </is>
      </c>
      <c r="C10" s="57" t="inlineStr">
        <is>
          <t>manahampijeferson94@gmail.com</t>
        </is>
      </c>
      <c r="D10" s="57" t="inlineStr">
        <is>
          <t>PML</t>
        </is>
      </c>
      <c r="E10" s="57" t="inlineStr">
        <is>
          <t>(040) MANGANITU SELATAN</t>
        </is>
      </c>
      <c r="F10" s="58" t="n">
        <v>1518</v>
      </c>
      <c r="G10" s="58" t="n">
        <v>229</v>
      </c>
      <c r="H10" s="59">
        <f>F10+G10</f>
        <v/>
      </c>
      <c r="I10" s="60" t="n">
        <v>174</v>
      </c>
      <c r="J10" s="60" t="n">
        <v>71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174</v>
      </c>
      <c r="P10" s="64" t="n">
        <v>227</v>
      </c>
      <c r="Q10" s="65">
        <f>P10-O10</f>
        <v/>
      </c>
      <c r="R10" s="66" t="n">
        <v>71</v>
      </c>
      <c r="S10" s="66" t="n">
        <v>37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1229</v>
      </c>
      <c r="Y10" s="69" t="n">
        <v>154</v>
      </c>
      <c r="Z10" s="70">
        <f>X10+Y10</f>
        <v/>
      </c>
      <c r="AA10" s="71" t="n">
        <v>1055</v>
      </c>
      <c r="AB10" s="71" t="n">
        <v>83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Novrilley Richard Mumu</t>
        </is>
      </c>
      <c r="C11" s="57" t="inlineStr">
        <is>
          <t>novrilleymumu11@gmail.com</t>
        </is>
      </c>
      <c r="D11" s="57" t="inlineStr">
        <is>
          <t>PML</t>
        </is>
      </c>
      <c r="E11" s="57" t="inlineStr">
        <is>
          <t>(100) TABUKAN UTARA</t>
        </is>
      </c>
      <c r="F11" s="58" t="n">
        <v>1910</v>
      </c>
      <c r="G11" s="58" t="n">
        <v>220</v>
      </c>
      <c r="H11" s="59">
        <f>F11+G11</f>
        <v/>
      </c>
      <c r="I11" s="60" t="n">
        <v>238</v>
      </c>
      <c r="J11" s="60" t="n">
        <v>83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238</v>
      </c>
      <c r="P11" s="64" t="n">
        <v>356</v>
      </c>
      <c r="Q11" s="65">
        <f>P11-O11</f>
        <v/>
      </c>
      <c r="R11" s="66" t="n">
        <v>83</v>
      </c>
      <c r="S11" s="66" t="n">
        <v>65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1431</v>
      </c>
      <c r="Y11" s="69" t="n">
        <v>185</v>
      </c>
      <c r="Z11" s="70">
        <f>X11+Y11</f>
        <v/>
      </c>
      <c r="AA11" s="71" t="n">
        <v>1193</v>
      </c>
      <c r="AB11" s="71" t="n">
        <v>102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Derlan Malawere</t>
        </is>
      </c>
      <c r="C12" s="57" t="inlineStr">
        <is>
          <t>derlanmalawere92@gmail.com</t>
        </is>
      </c>
      <c r="D12" s="57" t="inlineStr">
        <is>
          <t>PML</t>
        </is>
      </c>
      <c r="E12" s="57" t="inlineStr">
        <is>
          <t>(100) TABUKAN UTARA &amp; (102) KEPULAUAN MARORE</t>
        </is>
      </c>
      <c r="F12" s="58" t="n">
        <v>2078</v>
      </c>
      <c r="G12" s="58" t="n">
        <v>235</v>
      </c>
      <c r="H12" s="59">
        <f>F12+G12</f>
        <v/>
      </c>
      <c r="I12" s="60" t="n">
        <v>296</v>
      </c>
      <c r="J12" s="60" t="n">
        <v>113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296</v>
      </c>
      <c r="P12" s="64" t="n">
        <v>268</v>
      </c>
      <c r="Q12" s="65">
        <f>P12-O12</f>
        <v/>
      </c>
      <c r="R12" s="66" t="n">
        <v>113</v>
      </c>
      <c r="S12" s="66" t="n">
        <v>28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1506</v>
      </c>
      <c r="Y12" s="69" t="n">
        <v>193</v>
      </c>
      <c r="Z12" s="70">
        <f>X12+Y12</f>
        <v/>
      </c>
      <c r="AA12" s="71" t="n">
        <v>1210</v>
      </c>
      <c r="AB12" s="71" t="n">
        <v>80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Novdein Arif Bongkitang</t>
        </is>
      </c>
      <c r="C13" s="57" t="inlineStr">
        <is>
          <t>novdeinarifbongkitang@gmail.com</t>
        </is>
      </c>
      <c r="D13" s="57" t="inlineStr">
        <is>
          <t>PML</t>
        </is>
      </c>
      <c r="E13" s="57" t="inlineStr">
        <is>
          <t>(050) TAMAKO &amp; (080) MANGANITU</t>
        </is>
      </c>
      <c r="F13" s="58" t="n">
        <v>1658</v>
      </c>
      <c r="G13" s="58" t="n">
        <v>170</v>
      </c>
      <c r="H13" s="59">
        <f>F13+G13</f>
        <v/>
      </c>
      <c r="I13" s="60" t="n">
        <v>232</v>
      </c>
      <c r="J13" s="60" t="n">
        <v>43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232</v>
      </c>
      <c r="P13" s="64" t="n">
        <v>301</v>
      </c>
      <c r="Q13" s="65">
        <f>P13-O13</f>
        <v/>
      </c>
      <c r="R13" s="66" t="n">
        <v>43</v>
      </c>
      <c r="S13" s="66" t="n">
        <v>52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1192</v>
      </c>
      <c r="Y13" s="69" t="n">
        <v>134</v>
      </c>
      <c r="Z13" s="70">
        <f>X13+Y13</f>
        <v/>
      </c>
      <c r="AA13" s="71" t="n">
        <v>960</v>
      </c>
      <c r="AB13" s="71" t="n">
        <v>91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Ivonne Lariunaung</t>
        </is>
      </c>
      <c r="C14" s="57" t="inlineStr">
        <is>
          <t>vonnelariunaung77560@gmail.com</t>
        </is>
      </c>
      <c r="D14" s="57" t="inlineStr">
        <is>
          <t>PML</t>
        </is>
      </c>
      <c r="E14" s="57" t="inlineStr">
        <is>
          <t>(091) TAHUNA TIMUR</t>
        </is>
      </c>
      <c r="F14" s="58" t="n">
        <v>2266</v>
      </c>
      <c r="G14" s="58" t="n">
        <v>301</v>
      </c>
      <c r="H14" s="59">
        <f>F14+G14</f>
        <v/>
      </c>
      <c r="I14" s="60" t="n">
        <v>369</v>
      </c>
      <c r="J14" s="60" t="n">
        <v>89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369</v>
      </c>
      <c r="P14" s="64" t="n">
        <v>257</v>
      </c>
      <c r="Q14" s="65">
        <f>P14-O14</f>
        <v/>
      </c>
      <c r="R14" s="66" t="n">
        <v>89</v>
      </c>
      <c r="S14" s="66" t="n">
        <v>37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1658</v>
      </c>
      <c r="Y14" s="69" t="n">
        <v>187</v>
      </c>
      <c r="Z14" s="70">
        <f>X14+Y14</f>
        <v/>
      </c>
      <c r="AA14" s="71" t="n">
        <v>1289</v>
      </c>
      <c r="AB14" s="71" t="n">
        <v>98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Kezia Maralending</t>
        </is>
      </c>
      <c r="C15" s="57" t="inlineStr">
        <is>
          <t>kmaralending@gmail.com</t>
        </is>
      </c>
      <c r="D15" s="57" t="inlineStr">
        <is>
          <t>PML</t>
        </is>
      </c>
      <c r="E15" s="57" t="inlineStr">
        <is>
          <t>(041) TATOARENG</t>
        </is>
      </c>
      <c r="F15" s="58" t="n">
        <v>1133</v>
      </c>
      <c r="G15" s="58" t="n">
        <v>131</v>
      </c>
      <c r="H15" s="59">
        <f>F15+G15</f>
        <v/>
      </c>
      <c r="I15" s="60" t="n">
        <v>203</v>
      </c>
      <c r="J15" s="60" t="n">
        <v>39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203</v>
      </c>
      <c r="P15" s="64" t="n">
        <v>108</v>
      </c>
      <c r="Q15" s="65">
        <f>P15-O15</f>
        <v/>
      </c>
      <c r="R15" s="66" t="n">
        <v>39</v>
      </c>
      <c r="S15" s="66" t="n">
        <v>2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841</v>
      </c>
      <c r="Y15" s="69" t="n">
        <v>67</v>
      </c>
      <c r="Z15" s="70">
        <f>X15+Y15</f>
        <v/>
      </c>
      <c r="AA15" s="71" t="n">
        <v>638</v>
      </c>
      <c r="AB15" s="71" t="n">
        <v>28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Ferdinand Tangkabiringan</t>
        </is>
      </c>
      <c r="C16" s="57" t="inlineStr">
        <is>
          <t>ferdinandtangkabiringan@gmail.com</t>
        </is>
      </c>
      <c r="D16" s="57" t="inlineStr">
        <is>
          <t>PML</t>
        </is>
      </c>
      <c r="E16" s="57" t="inlineStr">
        <is>
          <t>(090) TAHUNA</t>
        </is>
      </c>
      <c r="F16" s="58" t="n">
        <v>1907</v>
      </c>
      <c r="G16" s="58" t="n">
        <v>384</v>
      </c>
      <c r="H16" s="59">
        <f>F16+G16</f>
        <v/>
      </c>
      <c r="I16" s="60" t="n">
        <v>316</v>
      </c>
      <c r="J16" s="60" t="n">
        <v>120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316</v>
      </c>
      <c r="P16" s="64" t="n">
        <v>230</v>
      </c>
      <c r="Q16" s="65">
        <f>P16-O16</f>
        <v/>
      </c>
      <c r="R16" s="66" t="n">
        <v>120</v>
      </c>
      <c r="S16" s="66" t="n">
        <v>73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1350</v>
      </c>
      <c r="Y16" s="69" t="n">
        <v>277</v>
      </c>
      <c r="Z16" s="70">
        <f>X16+Y16</f>
        <v/>
      </c>
      <c r="AA16" s="71" t="n">
        <v>1034</v>
      </c>
      <c r="AB16" s="71" t="n">
        <v>157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Ningsi Karendehi</t>
        </is>
      </c>
      <c r="C17" s="57" t="inlineStr">
        <is>
          <t>ningsikarendehi968@gmail.com</t>
        </is>
      </c>
      <c r="D17" s="57" t="inlineStr">
        <is>
          <t>PML</t>
        </is>
      </c>
      <c r="E17" s="57" t="inlineStr">
        <is>
          <t>(061) TABUKAN SELATAN TENGAH &amp; (062) TABUKAN SELATAN TENGGARA</t>
        </is>
      </c>
      <c r="F17" s="58" t="n">
        <v>1577</v>
      </c>
      <c r="G17" s="58" t="n">
        <v>169</v>
      </c>
      <c r="H17" s="59">
        <f>F17+G17</f>
        <v/>
      </c>
      <c r="I17" s="60" t="n">
        <v>169</v>
      </c>
      <c r="J17" s="60" t="n">
        <v>48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169</v>
      </c>
      <c r="P17" s="64" t="n">
        <v>190</v>
      </c>
      <c r="Q17" s="65">
        <f>P17-O17</f>
        <v/>
      </c>
      <c r="R17" s="66" t="n">
        <v>48</v>
      </c>
      <c r="S17" s="66" t="n">
        <v>28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1102</v>
      </c>
      <c r="Y17" s="69" t="n">
        <v>111</v>
      </c>
      <c r="Z17" s="70">
        <f>X17+Y17</f>
        <v/>
      </c>
      <c r="AA17" s="71" t="n">
        <v>933</v>
      </c>
      <c r="AB17" s="71" t="n">
        <v>63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Hastuti Manabung</t>
        </is>
      </c>
      <c r="C18" s="57" t="inlineStr">
        <is>
          <t>hmanabung01@gmail.com</t>
        </is>
      </c>
      <c r="D18" s="57" t="inlineStr">
        <is>
          <t>PML</t>
        </is>
      </c>
      <c r="E18" s="57" t="inlineStr">
        <is>
          <t>(110) KENDAHE</t>
        </is>
      </c>
      <c r="F18" s="58" t="n">
        <v>2170</v>
      </c>
      <c r="G18" s="58" t="n">
        <v>246</v>
      </c>
      <c r="H18" s="59">
        <f>F18+G18</f>
        <v/>
      </c>
      <c r="I18" s="60" t="n">
        <v>288</v>
      </c>
      <c r="J18" s="60" t="n">
        <v>78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288</v>
      </c>
      <c r="P18" s="64" t="n">
        <v>223</v>
      </c>
      <c r="Q18" s="65">
        <f>P18-O18</f>
        <v/>
      </c>
      <c r="R18" s="66" t="n">
        <v>78</v>
      </c>
      <c r="S18" s="66" t="n">
        <v>58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1475</v>
      </c>
      <c r="Y18" s="69" t="n">
        <v>193</v>
      </c>
      <c r="Z18" s="70">
        <f>X18+Y18</f>
        <v/>
      </c>
      <c r="AA18" s="71" t="n">
        <v>1187</v>
      </c>
      <c r="AB18" s="71" t="n">
        <v>115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Jenie Oktavin Rahmawati Monok</t>
        </is>
      </c>
      <c r="C19" s="57" t="inlineStr">
        <is>
          <t>jeniemonok7@gmail.com</t>
        </is>
      </c>
      <c r="D19" s="57" t="inlineStr">
        <is>
          <t>PML</t>
        </is>
      </c>
      <c r="E19" s="57" t="inlineStr">
        <is>
          <t>(091) TAHUNA TIMUR</t>
        </is>
      </c>
      <c r="F19" s="58" t="n">
        <v>1774</v>
      </c>
      <c r="G19" s="58" t="n">
        <v>264</v>
      </c>
      <c r="H19" s="59">
        <f>F19+G19</f>
        <v/>
      </c>
      <c r="I19" s="60" t="n">
        <v>332</v>
      </c>
      <c r="J19" s="60" t="n">
        <v>90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332</v>
      </c>
      <c r="P19" s="64" t="n">
        <v>186</v>
      </c>
      <c r="Q19" s="65">
        <f>P19-O19</f>
        <v/>
      </c>
      <c r="R19" s="66" t="n">
        <v>90</v>
      </c>
      <c r="S19" s="66" t="n">
        <v>46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1224</v>
      </c>
      <c r="Y19" s="69" t="n">
        <v>165</v>
      </c>
      <c r="Z19" s="70">
        <f>X19+Y19</f>
        <v/>
      </c>
      <c r="AA19" s="71" t="n">
        <v>892</v>
      </c>
      <c r="AB19" s="71" t="n">
        <v>75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Yulianti Manambe</t>
        </is>
      </c>
      <c r="C20" s="57" t="inlineStr">
        <is>
          <t>anthymanambe8@gmail.com</t>
        </is>
      </c>
      <c r="D20" s="57" t="inlineStr">
        <is>
          <t>PML</t>
        </is>
      </c>
      <c r="E20" s="57" t="inlineStr">
        <is>
          <t>(092) TAHUNA BARAT</t>
        </is>
      </c>
      <c r="F20" s="58" t="n">
        <v>2040</v>
      </c>
      <c r="G20" s="58" t="n">
        <v>169</v>
      </c>
      <c r="H20" s="59">
        <f>F20+G20</f>
        <v/>
      </c>
      <c r="I20" s="60" t="n">
        <v>233</v>
      </c>
      <c r="J20" s="60" t="n">
        <v>56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233</v>
      </c>
      <c r="P20" s="64" t="n">
        <v>107</v>
      </c>
      <c r="Q20" s="65">
        <f>P20-O20</f>
        <v/>
      </c>
      <c r="R20" s="66" t="n">
        <v>56</v>
      </c>
      <c r="S20" s="66" t="n">
        <v>11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1366</v>
      </c>
      <c r="Y20" s="69" t="n">
        <v>104</v>
      </c>
      <c r="Z20" s="70">
        <f>X20+Y20</f>
        <v/>
      </c>
      <c r="AA20" s="71" t="n">
        <v>1133</v>
      </c>
      <c r="AB20" s="71" t="n">
        <v>48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Jekir Venkil Dompas</t>
        </is>
      </c>
      <c r="C21" s="57" t="inlineStr">
        <is>
          <t>jekirvenkildompas@gmail.com</t>
        </is>
      </c>
      <c r="D21" s="57" t="inlineStr">
        <is>
          <t>PML</t>
        </is>
      </c>
      <c r="E21" s="57" t="inlineStr">
        <is>
          <t>(060) TABUKAN SELATAN &amp; (070) TABUKAN TENGAH</t>
        </is>
      </c>
      <c r="F21" s="58" t="n">
        <v>1763</v>
      </c>
      <c r="G21" s="58" t="n">
        <v>212</v>
      </c>
      <c r="H21" s="59">
        <f>F21+G21</f>
        <v/>
      </c>
      <c r="I21" s="60" t="n">
        <v>261</v>
      </c>
      <c r="J21" s="60" t="n">
        <v>77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261</v>
      </c>
      <c r="P21" s="64" t="n">
        <v>252</v>
      </c>
      <c r="Q21" s="65">
        <f>P21-O21</f>
        <v/>
      </c>
      <c r="R21" s="66" t="n">
        <v>77</v>
      </c>
      <c r="S21" s="66" t="n">
        <v>29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1153</v>
      </c>
      <c r="Y21" s="69" t="n">
        <v>161</v>
      </c>
      <c r="Z21" s="70">
        <f>X21+Y21</f>
        <v/>
      </c>
      <c r="AA21" s="71" t="n">
        <v>892</v>
      </c>
      <c r="AB21" s="71" t="n">
        <v>84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George Muler Sasiang</t>
        </is>
      </c>
      <c r="C22" s="57" t="inlineStr">
        <is>
          <t>georgemulersasiangsasiang@gmail.com</t>
        </is>
      </c>
      <c r="D22" s="57" t="inlineStr">
        <is>
          <t>PML</t>
        </is>
      </c>
      <c r="E22" s="57" t="inlineStr">
        <is>
          <t>(090) TAHUNA</t>
        </is>
      </c>
      <c r="F22" s="58" t="n">
        <v>1691</v>
      </c>
      <c r="G22" s="58" t="n">
        <v>617</v>
      </c>
      <c r="H22" s="59">
        <f>F22+G22</f>
        <v/>
      </c>
      <c r="I22" s="60" t="n">
        <v>294</v>
      </c>
      <c r="J22" s="60" t="n">
        <v>110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294</v>
      </c>
      <c r="P22" s="64" t="n">
        <v>224</v>
      </c>
      <c r="Q22" s="65">
        <f>P22-O22</f>
        <v/>
      </c>
      <c r="R22" s="66" t="n">
        <v>110</v>
      </c>
      <c r="S22" s="66" t="n">
        <v>178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1149</v>
      </c>
      <c r="Y22" s="69" t="n">
        <v>376</v>
      </c>
      <c r="Z22" s="70">
        <f>X22+Y22</f>
        <v/>
      </c>
      <c r="AA22" s="71" t="n">
        <v>855</v>
      </c>
      <c r="AB22" s="71" t="n">
        <v>266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Yan Fredrik Wellian Padang</t>
        </is>
      </c>
      <c r="C23" s="57" t="inlineStr">
        <is>
          <t>yanfwpadang84@gmail.com</t>
        </is>
      </c>
      <c r="D23" s="57" t="inlineStr">
        <is>
          <t>PML</t>
        </is>
      </c>
      <c r="E23" s="57" t="inlineStr">
        <is>
          <t>(090) TAHUNA</t>
        </is>
      </c>
      <c r="F23" s="58" t="n">
        <v>1952</v>
      </c>
      <c r="G23" s="58" t="n">
        <v>369</v>
      </c>
      <c r="H23" s="59">
        <f>F23+G23</f>
        <v/>
      </c>
      <c r="I23" s="60" t="n">
        <v>470</v>
      </c>
      <c r="J23" s="60" t="n">
        <v>119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470</v>
      </c>
      <c r="P23" s="64" t="n">
        <v>207</v>
      </c>
      <c r="Q23" s="65">
        <f>P23-O23</f>
        <v/>
      </c>
      <c r="R23" s="66" t="n">
        <v>119</v>
      </c>
      <c r="S23" s="66" t="n">
        <v>57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1284</v>
      </c>
      <c r="Y23" s="69" t="n">
        <v>221</v>
      </c>
      <c r="Z23" s="70">
        <f>X23+Y23</f>
        <v/>
      </c>
      <c r="AA23" s="71" t="n">
        <v>814</v>
      </c>
      <c r="AB23" s="71" t="n">
        <v>102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B. Lenskar Diamanis</t>
        </is>
      </c>
      <c r="C24" s="57" t="inlineStr">
        <is>
          <t>lenskardiamaniz@gmail.com</t>
        </is>
      </c>
      <c r="D24" s="57" t="inlineStr">
        <is>
          <t>PML</t>
        </is>
      </c>
      <c r="E24" s="57" t="inlineStr">
        <is>
          <t>(080) MANGANITU</t>
        </is>
      </c>
      <c r="F24" s="58" t="n">
        <v>1629</v>
      </c>
      <c r="G24" s="58" t="n">
        <v>161</v>
      </c>
      <c r="H24" s="59">
        <f>F24+G24</f>
        <v/>
      </c>
      <c r="I24" s="60" t="n">
        <v>127</v>
      </c>
      <c r="J24" s="60" t="n">
        <v>48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127</v>
      </c>
      <c r="P24" s="64" t="n">
        <v>156</v>
      </c>
      <c r="Q24" s="65">
        <f>P24-O24</f>
        <v/>
      </c>
      <c r="R24" s="66" t="n">
        <v>48</v>
      </c>
      <c r="S24" s="66" t="n">
        <v>19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1062</v>
      </c>
      <c r="Y24" s="69" t="n">
        <v>97</v>
      </c>
      <c r="Z24" s="70">
        <f>X24+Y24</f>
        <v/>
      </c>
      <c r="AA24" s="71" t="n">
        <v>935</v>
      </c>
      <c r="AB24" s="71" t="n">
        <v>49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Olfira Sicilia Budiman</t>
        </is>
      </c>
      <c r="C25" s="57" t="inlineStr">
        <is>
          <t>olfirabudiman@gmail.com</t>
        </is>
      </c>
      <c r="D25" s="57" t="inlineStr">
        <is>
          <t>PML</t>
        </is>
      </c>
      <c r="E25" s="57" t="inlineStr">
        <is>
          <t>(080) MANGANITU</t>
        </is>
      </c>
      <c r="F25" s="58" t="n">
        <v>1489</v>
      </c>
      <c r="G25" s="58" t="n">
        <v>278</v>
      </c>
      <c r="H25" s="59">
        <f>F25+G25</f>
        <v/>
      </c>
      <c r="I25" s="60" t="n">
        <v>173</v>
      </c>
      <c r="J25" s="60" t="n">
        <v>38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173</v>
      </c>
      <c r="P25" s="64" t="n">
        <v>214</v>
      </c>
      <c r="Q25" s="65">
        <f>P25-O25</f>
        <v/>
      </c>
      <c r="R25" s="66" t="n">
        <v>38</v>
      </c>
      <c r="S25" s="66" t="n">
        <v>31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953</v>
      </c>
      <c r="Y25" s="69" t="n">
        <v>106</v>
      </c>
      <c r="Z25" s="70">
        <f>X25+Y25</f>
        <v/>
      </c>
      <c r="AA25" s="71" t="n">
        <v>780</v>
      </c>
      <c r="AB25" s="71" t="n">
        <v>68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Fiane Greti Mansauda</t>
        </is>
      </c>
      <c r="C26" s="57" t="inlineStr">
        <is>
          <t>fianemansauda89@gmail.com</t>
        </is>
      </c>
      <c r="D26" s="57" t="inlineStr">
        <is>
          <t>PML</t>
        </is>
      </c>
      <c r="E26" s="57" t="inlineStr">
        <is>
          <t>(070) TABUKAN TENGAH</t>
        </is>
      </c>
      <c r="F26" s="58" t="n">
        <v>1865</v>
      </c>
      <c r="G26" s="58" t="n">
        <v>155</v>
      </c>
      <c r="H26" s="59">
        <f>F26+G26</f>
        <v/>
      </c>
      <c r="I26" s="60" t="n">
        <v>193</v>
      </c>
      <c r="J26" s="60" t="n">
        <v>36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193</v>
      </c>
      <c r="P26" s="64" t="n">
        <v>231</v>
      </c>
      <c r="Q26" s="65">
        <f>P26-O26</f>
        <v/>
      </c>
      <c r="R26" s="66" t="n">
        <v>36</v>
      </c>
      <c r="S26" s="66" t="n">
        <v>44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1089</v>
      </c>
      <c r="Y26" s="69" t="n">
        <v>114</v>
      </c>
      <c r="Z26" s="70">
        <f>X26+Y26</f>
        <v/>
      </c>
      <c r="AA26" s="71" t="n">
        <v>896</v>
      </c>
      <c r="AB26" s="71" t="n">
        <v>78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/>
      <c r="C27" s="57" t="inlineStr">
        <is>
          <t>unassigned</t>
        </is>
      </c>
      <c r="D27" s="57" t="inlineStr">
        <is>
          <t>PML</t>
        </is>
      </c>
      <c r="E27" s="57" t="inlineStr"/>
      <c r="F27" s="58" t="n">
        <v>0</v>
      </c>
      <c r="G27" s="58" t="n">
        <v>12</v>
      </c>
      <c r="H27" s="59">
        <f>F27+G27</f>
        <v/>
      </c>
      <c r="I27" s="60" t="n">
        <v>0</v>
      </c>
      <c r="J27" s="60" t="n">
        <v>0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0</v>
      </c>
      <c r="P27" s="64" t="n">
        <v>0</v>
      </c>
      <c r="Q27" s="65">
        <f>P27-O27</f>
        <v/>
      </c>
      <c r="R27" s="66" t="n">
        <v>0</v>
      </c>
      <c r="S27" s="66" t="n">
        <v>0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0</v>
      </c>
      <c r="Y27" s="69" t="n">
        <v>0</v>
      </c>
      <c r="Z27" s="70">
        <f>X27+Y27</f>
        <v/>
      </c>
      <c r="AA27" s="71" t="n">
        <v>0</v>
      </c>
      <c r="AB27" s="71" t="n">
        <v>0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</sheetData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26 AI4:AI26 AL4:AL26 AO4:AO26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35"/>
  <sheetViews>
    <sheetView workbookViewId="0">
      <selection activeCell="B1" sqref="B1:W34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width="7.36328125" bestFit="1" customWidth="1" min="4" max="4"/>
    <col width="60.36328125" bestFit="1" customWidth="1" min="5" max="5"/>
    <col hidden="1" width="8.7265625" customWidth="1" min="6" max="14"/>
    <col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  <col hidden="1" width="13" customWidth="1" min="30" max="41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>
        <is>
          <t>Sunardi Tamado</t>
        </is>
      </c>
      <c r="C4" s="57" t="inlineStr">
        <is>
          <t>sunarditamado2@gmail.com</t>
        </is>
      </c>
      <c r="D4" s="57" t="inlineStr">
        <is>
          <t>PCL</t>
        </is>
      </c>
      <c r="E4" s="57" t="inlineStr">
        <is>
          <t>(040) MANGANITU SELATAN</t>
        </is>
      </c>
      <c r="F4" s="58" t="n">
        <v>375</v>
      </c>
      <c r="G4" s="58" t="n">
        <v>53</v>
      </c>
      <c r="H4" s="59">
        <f>F4+G4</f>
        <v/>
      </c>
      <c r="I4" s="60" t="n">
        <v>65</v>
      </c>
      <c r="J4" s="60" t="n">
        <v>34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65</v>
      </c>
      <c r="P4" s="64" t="n">
        <v>46</v>
      </c>
      <c r="Q4" s="65">
        <f>P4-O4</f>
        <v/>
      </c>
      <c r="R4" s="66" t="n">
        <v>34</v>
      </c>
      <c r="S4" s="66" t="n">
        <v>2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346</v>
      </c>
      <c r="Y4" s="69" t="n">
        <v>43</v>
      </c>
      <c r="Z4" s="70">
        <f>X4+Y4</f>
        <v/>
      </c>
      <c r="AA4" s="71" t="n">
        <v>281</v>
      </c>
      <c r="AB4" s="71" t="n">
        <v>9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Geno Pepa Paraso</t>
        </is>
      </c>
      <c r="C5" s="57" t="inlineStr">
        <is>
          <t>ghenovhepaparaso@gmail.com</t>
        </is>
      </c>
      <c r="D5" s="57" t="inlineStr">
        <is>
          <t>PCL</t>
        </is>
      </c>
      <c r="E5" s="57" t="inlineStr">
        <is>
          <t>(090) TAHUNA</t>
        </is>
      </c>
      <c r="F5" s="58" t="n">
        <v>201</v>
      </c>
      <c r="G5" s="58" t="n">
        <v>209</v>
      </c>
      <c r="H5" s="59">
        <f>F5+G5</f>
        <v/>
      </c>
      <c r="I5" s="60" t="n">
        <v>52</v>
      </c>
      <c r="J5" s="60" t="n">
        <v>69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52</v>
      </c>
      <c r="P5" s="64" t="n">
        <v>21</v>
      </c>
      <c r="Q5" s="65">
        <f>P5-O5</f>
        <v/>
      </c>
      <c r="R5" s="66" t="n">
        <v>69</v>
      </c>
      <c r="S5" s="66" t="n">
        <v>39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171</v>
      </c>
      <c r="Y5" s="69" t="n">
        <v>162</v>
      </c>
      <c r="Z5" s="70">
        <f>X5+Y5</f>
        <v/>
      </c>
      <c r="AA5" s="71" t="n">
        <v>119</v>
      </c>
      <c r="AB5" s="71" t="n">
        <v>93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Regina Mahoro</t>
        </is>
      </c>
      <c r="C6" s="57" t="inlineStr">
        <is>
          <t>reginamahoro0@gmail.com</t>
        </is>
      </c>
      <c r="D6" s="57" t="inlineStr">
        <is>
          <t>PCL</t>
        </is>
      </c>
      <c r="E6" s="57" t="inlineStr">
        <is>
          <t>(100) TABUKAN UTARA</t>
        </is>
      </c>
      <c r="F6" s="58" t="n">
        <v>256</v>
      </c>
      <c r="G6" s="58" t="n">
        <v>44</v>
      </c>
      <c r="H6" s="59">
        <f>F6+G6</f>
        <v/>
      </c>
      <c r="I6" s="60" t="n">
        <v>87</v>
      </c>
      <c r="J6" s="60" t="n">
        <v>36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87</v>
      </c>
      <c r="P6" s="64" t="n">
        <v>44</v>
      </c>
      <c r="Q6" s="65">
        <f>P6-O6</f>
        <v/>
      </c>
      <c r="R6" s="66" t="n">
        <v>36</v>
      </c>
      <c r="S6" s="66" t="n">
        <v>6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256</v>
      </c>
      <c r="Y6" s="69" t="n">
        <v>46</v>
      </c>
      <c r="Z6" s="70">
        <f>X6+Y6</f>
        <v/>
      </c>
      <c r="AA6" s="71" t="n">
        <v>169</v>
      </c>
      <c r="AB6" s="71" t="n">
        <v>10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Andini Safitri Makaminan</t>
        </is>
      </c>
      <c r="C7" s="57" t="inlineStr">
        <is>
          <t>andinimakaminan98@gmail.com</t>
        </is>
      </c>
      <c r="D7" s="57" t="inlineStr">
        <is>
          <t>PCL</t>
        </is>
      </c>
      <c r="E7" s="57" t="inlineStr">
        <is>
          <t>(100) TABUKAN UTARA</t>
        </is>
      </c>
      <c r="F7" s="58" t="n">
        <v>306</v>
      </c>
      <c r="G7" s="58" t="n">
        <v>55</v>
      </c>
      <c r="H7" s="59">
        <f>F7+G7</f>
        <v/>
      </c>
      <c r="I7" s="60" t="n">
        <v>54</v>
      </c>
      <c r="J7" s="60" t="n">
        <v>32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54</v>
      </c>
      <c r="P7" s="64" t="n">
        <v>37</v>
      </c>
      <c r="Q7" s="65">
        <f>P7-O7</f>
        <v/>
      </c>
      <c r="R7" s="66" t="n">
        <v>32</v>
      </c>
      <c r="S7" s="66" t="n">
        <v>3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241</v>
      </c>
      <c r="Y7" s="69" t="n">
        <v>47</v>
      </c>
      <c r="Z7" s="70">
        <f>X7+Y7</f>
        <v/>
      </c>
      <c r="AA7" s="71" t="n">
        <v>187</v>
      </c>
      <c r="AB7" s="71" t="n">
        <v>15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Fernando Bielly Sindua</t>
        </is>
      </c>
      <c r="C8" s="57" t="inlineStr">
        <is>
          <t>biellysindua@gmail.com</t>
        </is>
      </c>
      <c r="D8" s="57" t="inlineStr">
        <is>
          <t>PCL</t>
        </is>
      </c>
      <c r="E8" s="57" t="inlineStr">
        <is>
          <t>(091) TAHUNA TIMUR</t>
        </is>
      </c>
      <c r="F8" s="58" t="n">
        <v>335</v>
      </c>
      <c r="G8" s="58" t="n">
        <v>61</v>
      </c>
      <c r="H8" s="59">
        <f>F8+G8</f>
        <v/>
      </c>
      <c r="I8" s="60" t="n">
        <v>96</v>
      </c>
      <c r="J8" s="60" t="n">
        <v>30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96</v>
      </c>
      <c r="P8" s="64" t="n">
        <v>47</v>
      </c>
      <c r="Q8" s="65">
        <f>P8-O8</f>
        <v/>
      </c>
      <c r="R8" s="66" t="n">
        <v>30</v>
      </c>
      <c r="S8" s="66" t="n">
        <v>2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226</v>
      </c>
      <c r="Y8" s="69" t="n">
        <v>36</v>
      </c>
      <c r="Z8" s="70">
        <f>X8+Y8</f>
        <v/>
      </c>
      <c r="AA8" s="71" t="n">
        <v>130</v>
      </c>
      <c r="AB8" s="71" t="n">
        <v>6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Cevin Sander Zon Makapedua</t>
        </is>
      </c>
      <c r="C9" s="57" t="inlineStr">
        <is>
          <t>cevinmakapedua926@gmail.com</t>
        </is>
      </c>
      <c r="D9" s="57" t="inlineStr">
        <is>
          <t>PCL</t>
        </is>
      </c>
      <c r="E9" s="57" t="inlineStr">
        <is>
          <t>(060) TABUKAN SELATAN</t>
        </is>
      </c>
      <c r="F9" s="58" t="n">
        <v>264</v>
      </c>
      <c r="G9" s="58" t="n">
        <v>47</v>
      </c>
      <c r="H9" s="59">
        <f>F9+G9</f>
        <v/>
      </c>
      <c r="I9" s="60" t="n">
        <v>41</v>
      </c>
      <c r="J9" s="60" t="n">
        <v>32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41</v>
      </c>
      <c r="P9" s="64" t="n">
        <v>30</v>
      </c>
      <c r="Q9" s="65">
        <f>P9-O9</f>
        <v/>
      </c>
      <c r="R9" s="66" t="n">
        <v>32</v>
      </c>
      <c r="S9" s="66" t="n">
        <v>8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241</v>
      </c>
      <c r="Y9" s="69" t="n">
        <v>44</v>
      </c>
      <c r="Z9" s="70">
        <f>X9+Y9</f>
        <v/>
      </c>
      <c r="AA9" s="71" t="n">
        <v>200</v>
      </c>
      <c r="AB9" s="71" t="n">
        <v>12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Clara Patricia Pangandaheng</t>
        </is>
      </c>
      <c r="C10" s="57" t="inlineStr">
        <is>
          <t>pangandahengclara11@gmail.com</t>
        </is>
      </c>
      <c r="D10" s="57" t="inlineStr">
        <is>
          <t>PCL</t>
        </is>
      </c>
      <c r="E10" s="57" t="inlineStr">
        <is>
          <t>(060) TABUKAN SELATAN</t>
        </is>
      </c>
      <c r="F10" s="58" t="n">
        <v>259</v>
      </c>
      <c r="G10" s="58" t="n">
        <v>35</v>
      </c>
      <c r="H10" s="59">
        <f>F10+G10</f>
        <v/>
      </c>
      <c r="I10" s="60" t="n">
        <v>43</v>
      </c>
      <c r="J10" s="60" t="n">
        <v>25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43</v>
      </c>
      <c r="P10" s="64" t="n">
        <v>48</v>
      </c>
      <c r="Q10" s="65">
        <f>P10-O10</f>
        <v/>
      </c>
      <c r="R10" s="66" t="n">
        <v>25</v>
      </c>
      <c r="S10" s="66" t="n">
        <v>4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237</v>
      </c>
      <c r="Y10" s="69" t="n">
        <v>33</v>
      </c>
      <c r="Z10" s="70">
        <f>X10+Y10</f>
        <v/>
      </c>
      <c r="AA10" s="71" t="n">
        <v>194</v>
      </c>
      <c r="AB10" s="71" t="n">
        <v>8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Amna Maneking</t>
        </is>
      </c>
      <c r="C11" s="57" t="inlineStr">
        <is>
          <t>amnamaneking@gmail.com</t>
        </is>
      </c>
      <c r="D11" s="57" t="inlineStr">
        <is>
          <t>PCL</t>
        </is>
      </c>
      <c r="E11" s="57" t="inlineStr">
        <is>
          <t>(100) TABUKAN UTARA</t>
        </is>
      </c>
      <c r="F11" s="58" t="n">
        <v>331</v>
      </c>
      <c r="G11" s="58" t="n">
        <v>53</v>
      </c>
      <c r="H11" s="59">
        <f>F11+G11</f>
        <v/>
      </c>
      <c r="I11" s="60" t="n">
        <v>39</v>
      </c>
      <c r="J11" s="60" t="n">
        <v>32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39</v>
      </c>
      <c r="P11" s="64" t="n">
        <v>40</v>
      </c>
      <c r="Q11" s="65">
        <f>P11-O11</f>
        <v/>
      </c>
      <c r="R11" s="66" t="n">
        <v>32</v>
      </c>
      <c r="S11" s="66" t="n">
        <v>12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239</v>
      </c>
      <c r="Y11" s="69" t="n">
        <v>57</v>
      </c>
      <c r="Z11" s="70">
        <f>X11+Y11</f>
        <v/>
      </c>
      <c r="AA11" s="71" t="n">
        <v>200</v>
      </c>
      <c r="AB11" s="71" t="n">
        <v>25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Frezcilia Dewi Daleda</t>
        </is>
      </c>
      <c r="C12" s="57" t="inlineStr">
        <is>
          <t>frzfrz130293@gmail.com</t>
        </is>
      </c>
      <c r="D12" s="57" t="inlineStr">
        <is>
          <t>PCL</t>
        </is>
      </c>
      <c r="E12" s="57" t="inlineStr">
        <is>
          <t>(090) TAHUNA</t>
        </is>
      </c>
      <c r="F12" s="58" t="n">
        <v>322</v>
      </c>
      <c r="G12" s="58" t="n">
        <v>58</v>
      </c>
      <c r="H12" s="59">
        <f>F12+G12</f>
        <v/>
      </c>
      <c r="I12" s="60" t="n">
        <v>45</v>
      </c>
      <c r="J12" s="60" t="n">
        <v>27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45</v>
      </c>
      <c r="P12" s="64" t="n">
        <v>14</v>
      </c>
      <c r="Q12" s="65">
        <f>P12-O12</f>
        <v/>
      </c>
      <c r="R12" s="66" t="n">
        <v>27</v>
      </c>
      <c r="S12" s="66" t="n">
        <v>7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186</v>
      </c>
      <c r="Y12" s="69" t="n">
        <v>53</v>
      </c>
      <c r="Z12" s="70">
        <f>X12+Y12</f>
        <v/>
      </c>
      <c r="AA12" s="71" t="n">
        <v>141</v>
      </c>
      <c r="AB12" s="71" t="n">
        <v>26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Nalla Aulya Ponto</t>
        </is>
      </c>
      <c r="C13" s="57" t="inlineStr">
        <is>
          <t>nallaaulya27@gmail.com</t>
        </is>
      </c>
      <c r="D13" s="57" t="inlineStr">
        <is>
          <t>PCL</t>
        </is>
      </c>
      <c r="E13" s="57" t="inlineStr">
        <is>
          <t>(090) TAHUNA</t>
        </is>
      </c>
      <c r="F13" s="58" t="n">
        <v>327</v>
      </c>
      <c r="G13" s="58" t="n">
        <v>57</v>
      </c>
      <c r="H13" s="59">
        <f>F13+G13</f>
        <v/>
      </c>
      <c r="I13" s="60" t="n">
        <v>103</v>
      </c>
      <c r="J13" s="60" t="n">
        <v>27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103</v>
      </c>
      <c r="P13" s="64" t="n">
        <v>40</v>
      </c>
      <c r="Q13" s="65">
        <f>P13-O13</f>
        <v/>
      </c>
      <c r="R13" s="66" t="n">
        <v>27</v>
      </c>
      <c r="S13" s="66" t="n">
        <v>8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229</v>
      </c>
      <c r="Y13" s="69" t="n">
        <v>41</v>
      </c>
      <c r="Z13" s="70">
        <f>X13+Y13</f>
        <v/>
      </c>
      <c r="AA13" s="71" t="n">
        <v>126</v>
      </c>
      <c r="AB13" s="71" t="n">
        <v>14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Nofri Markus Taidi</t>
        </is>
      </c>
      <c r="C14" s="57" t="inlineStr">
        <is>
          <t>nofritaidi@gmail.com</t>
        </is>
      </c>
      <c r="D14" s="57" t="inlineStr">
        <is>
          <t>PCL</t>
        </is>
      </c>
      <c r="E14" s="57" t="inlineStr">
        <is>
          <t>(041) TATOARENG</t>
        </is>
      </c>
      <c r="F14" s="58" t="n">
        <v>240</v>
      </c>
      <c r="G14" s="58" t="n">
        <v>65</v>
      </c>
      <c r="H14" s="59">
        <f>F14+G14</f>
        <v/>
      </c>
      <c r="I14" s="60" t="n">
        <v>43</v>
      </c>
      <c r="J14" s="60" t="n">
        <v>19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43</v>
      </c>
      <c r="P14" s="64" t="n">
        <v>2</v>
      </c>
      <c r="Q14" s="65">
        <f>P14-O14</f>
        <v/>
      </c>
      <c r="R14" s="66" t="n">
        <v>19</v>
      </c>
      <c r="S14" s="66" t="n">
        <v>0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185</v>
      </c>
      <c r="Y14" s="69" t="n">
        <v>30</v>
      </c>
      <c r="Z14" s="70">
        <f>X14+Y14</f>
        <v/>
      </c>
      <c r="AA14" s="71" t="n">
        <v>142</v>
      </c>
      <c r="AB14" s="71" t="n">
        <v>11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Bayu Sutiyono Dujoh</t>
        </is>
      </c>
      <c r="C15" s="57" t="inlineStr">
        <is>
          <t>bayuduyoh998@gmail.com</t>
        </is>
      </c>
      <c r="D15" s="57" t="inlineStr">
        <is>
          <t>PCL</t>
        </is>
      </c>
      <c r="E15" s="57" t="inlineStr">
        <is>
          <t>(090) TAHUNA</t>
        </is>
      </c>
      <c r="F15" s="58" t="n">
        <v>315</v>
      </c>
      <c r="G15" s="58" t="n">
        <v>51</v>
      </c>
      <c r="H15" s="59">
        <f>F15+G15</f>
        <v/>
      </c>
      <c r="I15" s="60" t="n">
        <v>58</v>
      </c>
      <c r="J15" s="60" t="n">
        <v>20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58</v>
      </c>
      <c r="P15" s="64" t="n">
        <v>17</v>
      </c>
      <c r="Q15" s="65">
        <f>P15-O15</f>
        <v/>
      </c>
      <c r="R15" s="66" t="n">
        <v>20</v>
      </c>
      <c r="S15" s="66" t="n">
        <v>2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179</v>
      </c>
      <c r="Y15" s="69" t="n">
        <v>26</v>
      </c>
      <c r="Z15" s="70">
        <f>X15+Y15</f>
        <v/>
      </c>
      <c r="AA15" s="71" t="n">
        <v>121</v>
      </c>
      <c r="AB15" s="71" t="n">
        <v>6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Fitria Rianti Gorosita</t>
        </is>
      </c>
      <c r="C16" s="57" t="inlineStr">
        <is>
          <t>fitriagorosita19@gmail.com</t>
        </is>
      </c>
      <c r="D16" s="57" t="inlineStr">
        <is>
          <t>PCL</t>
        </is>
      </c>
      <c r="E16" s="57" t="inlineStr">
        <is>
          <t>(060) TABUKAN SELATAN</t>
        </is>
      </c>
      <c r="F16" s="58" t="n">
        <v>264</v>
      </c>
      <c r="G16" s="58" t="n">
        <v>38</v>
      </c>
      <c r="H16" s="59">
        <f>F16+G16</f>
        <v/>
      </c>
      <c r="I16" s="60" t="n">
        <v>28</v>
      </c>
      <c r="J16" s="60" t="n">
        <v>22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28</v>
      </c>
      <c r="P16" s="64" t="n">
        <v>42</v>
      </c>
      <c r="Q16" s="65">
        <f>P16-O16</f>
        <v/>
      </c>
      <c r="R16" s="66" t="n">
        <v>22</v>
      </c>
      <c r="S16" s="66" t="n">
        <v>4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258</v>
      </c>
      <c r="Y16" s="69" t="n">
        <v>33</v>
      </c>
      <c r="Z16" s="70">
        <f>X16+Y16</f>
        <v/>
      </c>
      <c r="AA16" s="71" t="n">
        <v>230</v>
      </c>
      <c r="AB16" s="71" t="n">
        <v>11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Sigfried Erik Hontong</t>
        </is>
      </c>
      <c r="C17" s="57" t="inlineStr">
        <is>
          <t>eriksigfried@gmail.com</t>
        </is>
      </c>
      <c r="D17" s="57" t="inlineStr">
        <is>
          <t>PCL</t>
        </is>
      </c>
      <c r="E17" s="57" t="inlineStr">
        <is>
          <t>(040) MANGANITU SELATAN</t>
        </is>
      </c>
      <c r="F17" s="58" t="n">
        <v>303</v>
      </c>
      <c r="G17" s="58" t="n">
        <v>124</v>
      </c>
      <c r="H17" s="59">
        <f>F17+G17</f>
        <v/>
      </c>
      <c r="I17" s="60" t="n">
        <v>44</v>
      </c>
      <c r="J17" s="60" t="n">
        <v>24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44</v>
      </c>
      <c r="P17" s="64" t="n">
        <v>105</v>
      </c>
      <c r="Q17" s="65">
        <f>P17-O17</f>
        <v/>
      </c>
      <c r="R17" s="66" t="n">
        <v>24</v>
      </c>
      <c r="S17" s="66" t="n">
        <v>6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294</v>
      </c>
      <c r="Y17" s="69" t="n">
        <v>40</v>
      </c>
      <c r="Z17" s="70">
        <f>X17+Y17</f>
        <v/>
      </c>
      <c r="AA17" s="71" t="n">
        <v>250</v>
      </c>
      <c r="AB17" s="71" t="n">
        <v>16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Fitriani Mandalurang</t>
        </is>
      </c>
      <c r="C18" s="57" t="inlineStr">
        <is>
          <t>fifimendalurang@gmail.com</t>
        </is>
      </c>
      <c r="D18" s="57" t="inlineStr">
        <is>
          <t>PCL</t>
        </is>
      </c>
      <c r="E18" s="57" t="inlineStr">
        <is>
          <t>(100) TABUKAN UTARA</t>
        </is>
      </c>
      <c r="F18" s="58" t="n">
        <v>260</v>
      </c>
      <c r="G18" s="58" t="n">
        <v>92</v>
      </c>
      <c r="H18" s="59">
        <f>F18+G18</f>
        <v/>
      </c>
      <c r="I18" s="60" t="n">
        <v>27</v>
      </c>
      <c r="J18" s="60" t="n">
        <v>26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27</v>
      </c>
      <c r="P18" s="64" t="n">
        <v>93</v>
      </c>
      <c r="Q18" s="65">
        <f>P18-O18</f>
        <v/>
      </c>
      <c r="R18" s="66" t="n">
        <v>26</v>
      </c>
      <c r="S18" s="66" t="n">
        <v>9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203</v>
      </c>
      <c r="Y18" s="69" t="n">
        <v>41</v>
      </c>
      <c r="Z18" s="70">
        <f>X18+Y18</f>
        <v/>
      </c>
      <c r="AA18" s="71" t="n">
        <v>176</v>
      </c>
      <c r="AB18" s="71" t="n">
        <v>15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Junisye Ignes Boham</t>
        </is>
      </c>
      <c r="C19" s="57" t="inlineStr">
        <is>
          <t>nisyeignes@gmail.com</t>
        </is>
      </c>
      <c r="D19" s="57" t="inlineStr">
        <is>
          <t>PCL</t>
        </is>
      </c>
      <c r="E19" s="57" t="inlineStr">
        <is>
          <t>(090) TAHUNA</t>
        </is>
      </c>
      <c r="F19" s="58" t="n">
        <v>329</v>
      </c>
      <c r="G19" s="58" t="n">
        <v>77</v>
      </c>
      <c r="H19" s="59">
        <f>F19+G19</f>
        <v/>
      </c>
      <c r="I19" s="60" t="n">
        <v>57</v>
      </c>
      <c r="J19" s="60" t="n">
        <v>33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57</v>
      </c>
      <c r="P19" s="64" t="n">
        <v>50</v>
      </c>
      <c r="Q19" s="65">
        <f>P19-O19</f>
        <v/>
      </c>
      <c r="R19" s="66" t="n">
        <v>33</v>
      </c>
      <c r="S19" s="66" t="n">
        <v>16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221</v>
      </c>
      <c r="Y19" s="69" t="n">
        <v>59</v>
      </c>
      <c r="Z19" s="70">
        <f>X19+Y19</f>
        <v/>
      </c>
      <c r="AA19" s="71" t="n">
        <v>164</v>
      </c>
      <c r="AB19" s="71" t="n">
        <v>26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Nolvi Sanggel</t>
        </is>
      </c>
      <c r="C20" s="57" t="inlineStr">
        <is>
          <t>nolvisanggel76@gmail.com</t>
        </is>
      </c>
      <c r="D20" s="57" t="inlineStr">
        <is>
          <t>PCL</t>
        </is>
      </c>
      <c r="E20" s="57" t="inlineStr">
        <is>
          <t>(091) TAHUNA TIMUR</t>
        </is>
      </c>
      <c r="F20" s="58" t="n">
        <v>312</v>
      </c>
      <c r="G20" s="58" t="n">
        <v>75</v>
      </c>
      <c r="H20" s="59">
        <f>F20+G20</f>
        <v/>
      </c>
      <c r="I20" s="60" t="n">
        <v>50</v>
      </c>
      <c r="J20" s="60" t="n">
        <v>20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50</v>
      </c>
      <c r="P20" s="64" t="n">
        <v>25</v>
      </c>
      <c r="Q20" s="65">
        <f>P20-O20</f>
        <v/>
      </c>
      <c r="R20" s="66" t="n">
        <v>20</v>
      </c>
      <c r="S20" s="66" t="n">
        <v>3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240</v>
      </c>
      <c r="Y20" s="69" t="n">
        <v>30</v>
      </c>
      <c r="Z20" s="70">
        <f>X20+Y20</f>
        <v/>
      </c>
      <c r="AA20" s="71" t="n">
        <v>190</v>
      </c>
      <c r="AB20" s="71" t="n">
        <v>10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Avricilya Ester Rangian</t>
        </is>
      </c>
      <c r="C21" s="57" t="inlineStr">
        <is>
          <t>esterrangian@gmail.com</t>
        </is>
      </c>
      <c r="D21" s="57" t="inlineStr">
        <is>
          <t>PCL</t>
        </is>
      </c>
      <c r="E21" s="57" t="inlineStr">
        <is>
          <t>(100) TABUKAN UTARA</t>
        </is>
      </c>
      <c r="F21" s="58" t="n">
        <v>347</v>
      </c>
      <c r="G21" s="58" t="n">
        <v>27</v>
      </c>
      <c r="H21" s="59">
        <f>F21+G21</f>
        <v/>
      </c>
      <c r="I21" s="60" t="n">
        <v>46</v>
      </c>
      <c r="J21" s="60" t="n">
        <v>18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46</v>
      </c>
      <c r="P21" s="64" t="n">
        <v>75</v>
      </c>
      <c r="Q21" s="65">
        <f>P21-O21</f>
        <v/>
      </c>
      <c r="R21" s="66" t="n">
        <v>18</v>
      </c>
      <c r="S21" s="66" t="n">
        <v>2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347</v>
      </c>
      <c r="Y21" s="69" t="n">
        <v>28</v>
      </c>
      <c r="Z21" s="70">
        <f>X21+Y21</f>
        <v/>
      </c>
      <c r="AA21" s="71" t="n">
        <v>301</v>
      </c>
      <c r="AB21" s="71" t="n">
        <v>10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Kesya Syalomita Pangeke</t>
        </is>
      </c>
      <c r="C22" s="57" t="inlineStr">
        <is>
          <t>kesyapangeke@gmail.com</t>
        </is>
      </c>
      <c r="D22" s="57" t="inlineStr">
        <is>
          <t>PCL</t>
        </is>
      </c>
      <c r="E22" s="57" t="inlineStr">
        <is>
          <t>(040) MANGANITU SELATAN</t>
        </is>
      </c>
      <c r="F22" s="58" t="n">
        <v>366</v>
      </c>
      <c r="G22" s="58" t="n">
        <v>44</v>
      </c>
      <c r="H22" s="59">
        <f>F22+G22</f>
        <v/>
      </c>
      <c r="I22" s="60" t="n">
        <v>48</v>
      </c>
      <c r="J22" s="60" t="n">
        <v>18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48</v>
      </c>
      <c r="P22" s="64" t="n">
        <v>37</v>
      </c>
      <c r="Q22" s="65">
        <f>P22-O22</f>
        <v/>
      </c>
      <c r="R22" s="66" t="n">
        <v>18</v>
      </c>
      <c r="S22" s="66" t="n">
        <v>2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274</v>
      </c>
      <c r="Y22" s="69" t="n">
        <v>37</v>
      </c>
      <c r="Z22" s="70">
        <f>X22+Y22</f>
        <v/>
      </c>
      <c r="AA22" s="71" t="n">
        <v>226</v>
      </c>
      <c r="AB22" s="71" t="n">
        <v>19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Ayu Lestari Areros</t>
        </is>
      </c>
      <c r="C23" s="57" t="inlineStr">
        <is>
          <t>ayuareros714@gmail.com</t>
        </is>
      </c>
      <c r="D23" s="57" t="inlineStr">
        <is>
          <t>PCL</t>
        </is>
      </c>
      <c r="E23" s="57" t="inlineStr">
        <is>
          <t>(040) MANGANITU SELATAN</t>
        </is>
      </c>
      <c r="F23" s="58" t="n">
        <v>244</v>
      </c>
      <c r="G23" s="58" t="n">
        <v>44</v>
      </c>
      <c r="H23" s="59">
        <f>F23+G23</f>
        <v/>
      </c>
      <c r="I23" s="60" t="n">
        <v>37</v>
      </c>
      <c r="J23" s="60" t="n">
        <v>15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37</v>
      </c>
      <c r="P23" s="64" t="n">
        <v>8</v>
      </c>
      <c r="Q23" s="65">
        <f>P23-O23</f>
        <v/>
      </c>
      <c r="R23" s="66" t="n">
        <v>15</v>
      </c>
      <c r="S23" s="66" t="n">
        <v>0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232</v>
      </c>
      <c r="Y23" s="69" t="n">
        <v>37</v>
      </c>
      <c r="Z23" s="70">
        <f>X23+Y23</f>
        <v/>
      </c>
      <c r="AA23" s="71" t="n">
        <v>195</v>
      </c>
      <c r="AB23" s="71" t="n">
        <v>22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Merry Christiani Lano</t>
        </is>
      </c>
      <c r="C24" s="57" t="inlineStr">
        <is>
          <t>lanomerrych@gmail.com</t>
        </is>
      </c>
      <c r="D24" s="57" t="inlineStr">
        <is>
          <t>PCL</t>
        </is>
      </c>
      <c r="E24" s="57" t="inlineStr">
        <is>
          <t>(050) TAMAKO</t>
        </is>
      </c>
      <c r="F24" s="58" t="n">
        <v>326</v>
      </c>
      <c r="G24" s="58" t="n">
        <v>67</v>
      </c>
      <c r="H24" s="59">
        <f>F24+G24</f>
        <v/>
      </c>
      <c r="I24" s="60" t="n">
        <v>100</v>
      </c>
      <c r="J24" s="60" t="n">
        <v>38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100</v>
      </c>
      <c r="P24" s="64" t="n">
        <v>38</v>
      </c>
      <c r="Q24" s="65">
        <f>P24-O24</f>
        <v/>
      </c>
      <c r="R24" s="66" t="n">
        <v>38</v>
      </c>
      <c r="S24" s="66" t="n">
        <v>23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320</v>
      </c>
      <c r="Y24" s="69" t="n">
        <v>62</v>
      </c>
      <c r="Z24" s="70">
        <f>X24+Y24</f>
        <v/>
      </c>
      <c r="AA24" s="71" t="n">
        <v>220</v>
      </c>
      <c r="AB24" s="71" t="n">
        <v>24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Arianti Adahati</t>
        </is>
      </c>
      <c r="C25" s="57" t="inlineStr">
        <is>
          <t>ariantiadahati05@gmail.com</t>
        </is>
      </c>
      <c r="D25" s="57" t="inlineStr">
        <is>
          <t>PCL</t>
        </is>
      </c>
      <c r="E25" s="57" t="inlineStr">
        <is>
          <t>(091) TAHUNA TIMUR</t>
        </is>
      </c>
      <c r="F25" s="58" t="n">
        <v>365</v>
      </c>
      <c r="G25" s="58" t="n">
        <v>54</v>
      </c>
      <c r="H25" s="59">
        <f>F25+G25</f>
        <v/>
      </c>
      <c r="I25" s="60" t="n">
        <v>102</v>
      </c>
      <c r="J25" s="60" t="n">
        <v>28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102</v>
      </c>
      <c r="P25" s="64" t="n">
        <v>74</v>
      </c>
      <c r="Q25" s="65">
        <f>P25-O25</f>
        <v/>
      </c>
      <c r="R25" s="66" t="n">
        <v>28</v>
      </c>
      <c r="S25" s="66" t="n">
        <v>14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316</v>
      </c>
      <c r="Y25" s="69" t="n">
        <v>61</v>
      </c>
      <c r="Z25" s="70">
        <f>X25+Y25</f>
        <v/>
      </c>
      <c r="AA25" s="71" t="n">
        <v>214</v>
      </c>
      <c r="AB25" s="71" t="n">
        <v>33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Dayan Abdullah</t>
        </is>
      </c>
      <c r="C26" s="57" t="inlineStr">
        <is>
          <t>dayan.abdullah86@gmail.com</t>
        </is>
      </c>
      <c r="D26" s="57" t="inlineStr">
        <is>
          <t>PCL</t>
        </is>
      </c>
      <c r="E26" s="57" t="inlineStr">
        <is>
          <t>(100) TABUKAN UTARA</t>
        </is>
      </c>
      <c r="F26" s="58" t="n">
        <v>343</v>
      </c>
      <c r="G26" s="58" t="n">
        <v>31</v>
      </c>
      <c r="H26" s="59">
        <f>F26+G26</f>
        <v/>
      </c>
      <c r="I26" s="60" t="n">
        <v>30</v>
      </c>
      <c r="J26" s="60" t="n">
        <v>16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30</v>
      </c>
      <c r="P26" s="64" t="n">
        <v>56</v>
      </c>
      <c r="Q26" s="65">
        <f>P26-O26</f>
        <v/>
      </c>
      <c r="R26" s="66" t="n">
        <v>16</v>
      </c>
      <c r="S26" s="66" t="n">
        <v>2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230</v>
      </c>
      <c r="Y26" s="69" t="n">
        <v>22</v>
      </c>
      <c r="Z26" s="70">
        <f>X26+Y26</f>
        <v/>
      </c>
      <c r="AA26" s="71" t="n">
        <v>200</v>
      </c>
      <c r="AB26" s="71" t="n">
        <v>6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 hidden="1">
      <c r="A27" s="56" t="n">
        <v>24</v>
      </c>
      <c r="B27" s="57" t="inlineStr">
        <is>
          <t>Satrio Prasetya Braid Dalantang</t>
        </is>
      </c>
      <c r="C27" s="57" t="inlineStr">
        <is>
          <t>satrioopbd@gmail.com</t>
        </is>
      </c>
      <c r="D27" s="57" t="inlineStr">
        <is>
          <t>PCL</t>
        </is>
      </c>
      <c r="E27" s="57" t="inlineStr">
        <is>
          <t>(041) TATOARENG</t>
        </is>
      </c>
      <c r="F27" s="58" t="n">
        <v>252</v>
      </c>
      <c r="G27" s="58" t="n">
        <v>33</v>
      </c>
      <c r="H27" s="59">
        <f>F27+G27</f>
        <v/>
      </c>
      <c r="I27" s="60" t="n">
        <v>30</v>
      </c>
      <c r="J27" s="60" t="n">
        <v>16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30</v>
      </c>
      <c r="P27" s="64" t="n">
        <v>68</v>
      </c>
      <c r="Q27" s="65">
        <f>P27-O27</f>
        <v/>
      </c>
      <c r="R27" s="66" t="n">
        <v>16</v>
      </c>
      <c r="S27" s="66" t="n">
        <v>2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167</v>
      </c>
      <c r="Y27" s="69" t="n">
        <v>19</v>
      </c>
      <c r="Z27" s="70">
        <f>X27+Y27</f>
        <v/>
      </c>
      <c r="AA27" s="71" t="n">
        <v>137</v>
      </c>
      <c r="AB27" s="71" t="n">
        <v>3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Septian Sulaiman</t>
        </is>
      </c>
      <c r="C28" s="57" t="inlineStr">
        <is>
          <t>tianfirnanda16@gmail.com</t>
        </is>
      </c>
      <c r="D28" s="57" t="inlineStr">
        <is>
          <t>PCL</t>
        </is>
      </c>
      <c r="E28" s="57" t="inlineStr">
        <is>
          <t>(091) TAHUNA TIMUR</t>
        </is>
      </c>
      <c r="F28" s="58" t="n">
        <v>391</v>
      </c>
      <c r="G28" s="58" t="n">
        <v>61</v>
      </c>
      <c r="H28" s="59">
        <f>F28+G28</f>
        <v/>
      </c>
      <c r="I28" s="60" t="n">
        <v>53</v>
      </c>
      <c r="J28" s="60" t="n">
        <v>17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53</v>
      </c>
      <c r="P28" s="64" t="n">
        <v>24</v>
      </c>
      <c r="Q28" s="65">
        <f>P28-O28</f>
        <v/>
      </c>
      <c r="R28" s="66" t="n">
        <v>17</v>
      </c>
      <c r="S28" s="66" t="n">
        <v>3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291</v>
      </c>
      <c r="Y28" s="69" t="n">
        <v>38</v>
      </c>
      <c r="Z28" s="70">
        <f>X28+Y28</f>
        <v/>
      </c>
      <c r="AA28" s="71" t="n">
        <v>238</v>
      </c>
      <c r="AB28" s="71" t="n">
        <v>21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Eugenia Ariani Tamakaenge</t>
        </is>
      </c>
      <c r="C29" s="57" t="inlineStr">
        <is>
          <t>eugeniaarianit@gmail.com</t>
        </is>
      </c>
      <c r="D29" s="57" t="inlineStr">
        <is>
          <t>PCL</t>
        </is>
      </c>
      <c r="E29" s="57" t="inlineStr">
        <is>
          <t>(092) TAHUNA BARAT</t>
        </is>
      </c>
      <c r="F29" s="58" t="n">
        <v>409</v>
      </c>
      <c r="G29" s="58" t="n">
        <v>49</v>
      </c>
      <c r="H29" s="59">
        <f>F29+G29</f>
        <v/>
      </c>
      <c r="I29" s="60" t="n">
        <v>56</v>
      </c>
      <c r="J29" s="60" t="n">
        <v>17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56</v>
      </c>
      <c r="P29" s="64" t="n">
        <v>16</v>
      </c>
      <c r="Q29" s="65">
        <f>P29-O29</f>
        <v/>
      </c>
      <c r="R29" s="66" t="n">
        <v>17</v>
      </c>
      <c r="S29" s="66" t="n">
        <v>4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312</v>
      </c>
      <c r="Y29" s="69" t="n">
        <v>37</v>
      </c>
      <c r="Z29" s="70">
        <f>X29+Y29</f>
        <v/>
      </c>
      <c r="AA29" s="71" t="n">
        <v>256</v>
      </c>
      <c r="AB29" s="71" t="n">
        <v>20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Evita Beatrix Nanlohy</t>
        </is>
      </c>
      <c r="C30" s="57" t="inlineStr">
        <is>
          <t>evitananlohy29@gmail.com</t>
        </is>
      </c>
      <c r="D30" s="57" t="inlineStr">
        <is>
          <t>PCL</t>
        </is>
      </c>
      <c r="E30" s="57" t="inlineStr">
        <is>
          <t>(092) TAHUNA BARAT</t>
        </is>
      </c>
      <c r="F30" s="58" t="n">
        <v>407</v>
      </c>
      <c r="G30" s="58" t="n">
        <v>34</v>
      </c>
      <c r="H30" s="59">
        <f>F30+G30</f>
        <v/>
      </c>
      <c r="I30" s="60" t="n">
        <v>46</v>
      </c>
      <c r="J30" s="60" t="n">
        <v>16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46</v>
      </c>
      <c r="P30" s="64" t="n">
        <v>19</v>
      </c>
      <c r="Q30" s="65">
        <f>P30-O30</f>
        <v/>
      </c>
      <c r="R30" s="66" t="n">
        <v>16</v>
      </c>
      <c r="S30" s="66" t="n">
        <v>3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266</v>
      </c>
      <c r="Y30" s="69" t="n">
        <v>23</v>
      </c>
      <c r="Z30" s="70">
        <f>X30+Y30</f>
        <v/>
      </c>
      <c r="AA30" s="71" t="n">
        <v>220</v>
      </c>
      <c r="AB30" s="71" t="n">
        <v>7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Titien Kurniawati Lamorahan</t>
        </is>
      </c>
      <c r="C31" s="57" t="inlineStr">
        <is>
          <t>lamorahantitien@gmail.com</t>
        </is>
      </c>
      <c r="D31" s="57" t="inlineStr">
        <is>
          <t>PCL</t>
        </is>
      </c>
      <c r="E31" s="57" t="inlineStr">
        <is>
          <t>(061) TABUKAN SELATAN TENGAH</t>
        </is>
      </c>
      <c r="F31" s="58" t="n">
        <v>236</v>
      </c>
      <c r="G31" s="58" t="n">
        <v>60</v>
      </c>
      <c r="H31" s="59">
        <f>F31+G31</f>
        <v/>
      </c>
      <c r="I31" s="60" t="n">
        <v>41</v>
      </c>
      <c r="J31" s="60" t="n">
        <v>19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41</v>
      </c>
      <c r="P31" s="64" t="n">
        <v>22</v>
      </c>
      <c r="Q31" s="65">
        <f>P31-O31</f>
        <v/>
      </c>
      <c r="R31" s="66" t="n">
        <v>19</v>
      </c>
      <c r="S31" s="66" t="n">
        <v>6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164</v>
      </c>
      <c r="Y31" s="69" t="n">
        <v>48</v>
      </c>
      <c r="Z31" s="70">
        <f>X31+Y31</f>
        <v/>
      </c>
      <c r="AA31" s="71" t="n">
        <v>123</v>
      </c>
      <c r="AB31" s="71" t="n">
        <v>29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Aditya Christovel Hangau</t>
        </is>
      </c>
      <c r="C32" s="57" t="inlineStr">
        <is>
          <t>adityahangau@gmail.com</t>
        </is>
      </c>
      <c r="D32" s="57" t="inlineStr">
        <is>
          <t>PCL</t>
        </is>
      </c>
      <c r="E32" s="57" t="inlineStr">
        <is>
          <t>(090) TAHUNA</t>
        </is>
      </c>
      <c r="F32" s="58" t="n">
        <v>347</v>
      </c>
      <c r="G32" s="58" t="n">
        <v>39</v>
      </c>
      <c r="H32" s="59">
        <f>F32+G32</f>
        <v/>
      </c>
      <c r="I32" s="60" t="n">
        <v>80</v>
      </c>
      <c r="J32" s="60" t="n">
        <v>19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80</v>
      </c>
      <c r="P32" s="64" t="n">
        <v>23</v>
      </c>
      <c r="Q32" s="65">
        <f>P32-O32</f>
        <v/>
      </c>
      <c r="R32" s="66" t="n">
        <v>19</v>
      </c>
      <c r="S32" s="66" t="n">
        <v>7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196</v>
      </c>
      <c r="Y32" s="69" t="n">
        <v>27</v>
      </c>
      <c r="Z32" s="70">
        <f>X32+Y32</f>
        <v/>
      </c>
      <c r="AA32" s="71" t="n">
        <v>116</v>
      </c>
      <c r="AB32" s="71" t="n">
        <v>8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Julianty Thesa Takaredase</t>
        </is>
      </c>
      <c r="C33" s="57" t="inlineStr">
        <is>
          <t>echaatakaredase@gmail.com</t>
        </is>
      </c>
      <c r="D33" s="57" t="inlineStr">
        <is>
          <t>PCL</t>
        </is>
      </c>
      <c r="E33" s="57" t="inlineStr">
        <is>
          <t>(080) MANGANITU</t>
        </is>
      </c>
      <c r="F33" s="58" t="n">
        <v>321</v>
      </c>
      <c r="G33" s="58" t="n">
        <v>40</v>
      </c>
      <c r="H33" s="59">
        <f>F33+G33</f>
        <v/>
      </c>
      <c r="I33" s="60" t="n">
        <v>24</v>
      </c>
      <c r="J33" s="60" t="n">
        <v>20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24</v>
      </c>
      <c r="P33" s="64" t="n">
        <v>44</v>
      </c>
      <c r="Q33" s="65">
        <f>P33-O33</f>
        <v/>
      </c>
      <c r="R33" s="66" t="n">
        <v>20</v>
      </c>
      <c r="S33" s="66" t="n">
        <v>8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188</v>
      </c>
      <c r="Y33" s="69" t="n">
        <v>37</v>
      </c>
      <c r="Z33" s="70">
        <f>X33+Y33</f>
        <v/>
      </c>
      <c r="AA33" s="71" t="n">
        <v>164</v>
      </c>
      <c r="AB33" s="71" t="n">
        <v>17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Meisye Miranti Salendeho</t>
        </is>
      </c>
      <c r="C34" s="57" t="inlineStr">
        <is>
          <t>meisyemirantisalendeho@gmail.com</t>
        </is>
      </c>
      <c r="D34" s="57" t="inlineStr">
        <is>
          <t>PCL</t>
        </is>
      </c>
      <c r="E34" s="57" t="inlineStr">
        <is>
          <t>(070) TABUKAN TENGAH</t>
        </is>
      </c>
      <c r="F34" s="58" t="n">
        <v>300</v>
      </c>
      <c r="G34" s="58" t="n">
        <v>36</v>
      </c>
      <c r="H34" s="59">
        <f>F34+G34</f>
        <v/>
      </c>
      <c r="I34" s="60" t="n">
        <v>19</v>
      </c>
      <c r="J34" s="60" t="n">
        <v>16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19</v>
      </c>
      <c r="P34" s="64" t="n">
        <v>47</v>
      </c>
      <c r="Q34" s="65">
        <f>P34-O34</f>
        <v/>
      </c>
      <c r="R34" s="66" t="n">
        <v>16</v>
      </c>
      <c r="S34" s="66" t="n">
        <v>4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212</v>
      </c>
      <c r="Y34" s="69" t="n">
        <v>24</v>
      </c>
      <c r="Z34" s="70">
        <f>X34+Y34</f>
        <v/>
      </c>
      <c r="AA34" s="71" t="n">
        <v>193</v>
      </c>
      <c r="AB34" s="71" t="n">
        <v>8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Muhamad Fadly Djafar</t>
        </is>
      </c>
      <c r="C35" s="57" t="inlineStr">
        <is>
          <t>tentangsangihe@gmail.com</t>
        </is>
      </c>
      <c r="D35" s="57" t="inlineStr">
        <is>
          <t>PCL</t>
        </is>
      </c>
      <c r="E35" s="57" t="inlineStr">
        <is>
          <t>(110) KENDAHE</t>
        </is>
      </c>
      <c r="F35" s="58" t="n">
        <v>344</v>
      </c>
      <c r="G35" s="58" t="n">
        <v>64</v>
      </c>
      <c r="H35" s="59">
        <f>F35+G35</f>
        <v/>
      </c>
      <c r="I35" s="60" t="n">
        <v>26</v>
      </c>
      <c r="J35" s="60" t="n">
        <v>14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26</v>
      </c>
      <c r="P35" s="64" t="n">
        <v>26</v>
      </c>
      <c r="Q35" s="65">
        <f>P35-O35</f>
        <v/>
      </c>
      <c r="R35" s="66" t="n">
        <v>14</v>
      </c>
      <c r="S35" s="66" t="n">
        <v>2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259</v>
      </c>
      <c r="Y35" s="69" t="n">
        <v>32</v>
      </c>
      <c r="Z35" s="70">
        <f>X35+Y35</f>
        <v/>
      </c>
      <c r="AA35" s="71" t="n">
        <v>233</v>
      </c>
      <c r="AB35" s="71" t="n">
        <v>18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Tia Ivanca Christy Pangandaheng</t>
        </is>
      </c>
      <c r="C36" s="57" t="inlineStr">
        <is>
          <t>pngndhngtia@gmail.com</t>
        </is>
      </c>
      <c r="D36" s="57" t="inlineStr">
        <is>
          <t>PCL</t>
        </is>
      </c>
      <c r="E36" s="57" t="inlineStr">
        <is>
          <t>(060) TABUKAN SELATAN</t>
        </is>
      </c>
      <c r="F36" s="58" t="n">
        <v>289</v>
      </c>
      <c r="G36" s="58" t="n">
        <v>24</v>
      </c>
      <c r="H36" s="59">
        <f>F36+G36</f>
        <v/>
      </c>
      <c r="I36" s="60" t="n">
        <v>49</v>
      </c>
      <c r="J36" s="60" t="n">
        <v>16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49</v>
      </c>
      <c r="P36" s="64" t="n">
        <v>55</v>
      </c>
      <c r="Q36" s="65">
        <f>P36-O36</f>
        <v/>
      </c>
      <c r="R36" s="66" t="n">
        <v>16</v>
      </c>
      <c r="S36" s="66" t="n">
        <v>4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225</v>
      </c>
      <c r="Y36" s="69" t="n">
        <v>21</v>
      </c>
      <c r="Z36" s="70">
        <f>X36+Y36</f>
        <v/>
      </c>
      <c r="AA36" s="71" t="n">
        <v>176</v>
      </c>
      <c r="AB36" s="71" t="n">
        <v>5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Arfando Pieter Tampilang</t>
        </is>
      </c>
      <c r="C37" s="57" t="inlineStr">
        <is>
          <t>pietertampilang@gmail.com</t>
        </is>
      </c>
      <c r="D37" s="57" t="inlineStr">
        <is>
          <t>PCL</t>
        </is>
      </c>
      <c r="E37" s="57" t="inlineStr">
        <is>
          <t>(070) TABUKAN TENGAH</t>
        </is>
      </c>
      <c r="F37" s="58" t="n">
        <v>297</v>
      </c>
      <c r="G37" s="58" t="n">
        <v>72</v>
      </c>
      <c r="H37" s="59">
        <f>F37+G37</f>
        <v/>
      </c>
      <c r="I37" s="60" t="n">
        <v>71</v>
      </c>
      <c r="J37" s="60" t="n">
        <v>15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71</v>
      </c>
      <c r="P37" s="64" t="n">
        <v>13</v>
      </c>
      <c r="Q37" s="65">
        <f>P37-O37</f>
        <v/>
      </c>
      <c r="R37" s="66" t="n">
        <v>15</v>
      </c>
      <c r="S37" s="66" t="n">
        <v>4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168</v>
      </c>
      <c r="Y37" s="69" t="n">
        <v>54</v>
      </c>
      <c r="Z37" s="70">
        <f>X37+Y37</f>
        <v/>
      </c>
      <c r="AA37" s="71" t="n">
        <v>97</v>
      </c>
      <c r="AB37" s="71" t="n">
        <v>39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Eka Saputri Rusmain</t>
        </is>
      </c>
      <c r="C38" s="57" t="inlineStr">
        <is>
          <t>puteka038@gmail.com</t>
        </is>
      </c>
      <c r="D38" s="57" t="inlineStr">
        <is>
          <t>PCL</t>
        </is>
      </c>
      <c r="E38" s="57" t="inlineStr">
        <is>
          <t>(110) KENDAHE</t>
        </is>
      </c>
      <c r="F38" s="58" t="n">
        <v>394</v>
      </c>
      <c r="G38" s="58" t="n">
        <v>52</v>
      </c>
      <c r="H38" s="59">
        <f>F38+G38</f>
        <v/>
      </c>
      <c r="I38" s="60" t="n">
        <v>63</v>
      </c>
      <c r="J38" s="60" t="n">
        <v>19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63</v>
      </c>
      <c r="P38" s="64" t="n">
        <v>47</v>
      </c>
      <c r="Q38" s="65">
        <f>P38-O38</f>
        <v/>
      </c>
      <c r="R38" s="66" t="n">
        <v>19</v>
      </c>
      <c r="S38" s="66" t="n">
        <v>8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275</v>
      </c>
      <c r="Y38" s="69" t="n">
        <v>38</v>
      </c>
      <c r="Z38" s="70">
        <f>X38+Y38</f>
        <v/>
      </c>
      <c r="AA38" s="71" t="n">
        <v>212</v>
      </c>
      <c r="AB38" s="71" t="n">
        <v>19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Iramaya Sasiang</t>
        </is>
      </c>
      <c r="C39" s="57" t="inlineStr">
        <is>
          <t>sasiangmaya80@gmail.com</t>
        </is>
      </c>
      <c r="D39" s="57" t="inlineStr">
        <is>
          <t>PCL</t>
        </is>
      </c>
      <c r="E39" s="57" t="inlineStr">
        <is>
          <t>(102) KEPULAUAN MARORE</t>
        </is>
      </c>
      <c r="F39" s="58" t="n">
        <v>411</v>
      </c>
      <c r="G39" s="58" t="n">
        <v>41</v>
      </c>
      <c r="H39" s="59">
        <f>F39+G39</f>
        <v/>
      </c>
      <c r="I39" s="60" t="n">
        <v>43</v>
      </c>
      <c r="J39" s="60" t="n">
        <v>18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43</v>
      </c>
      <c r="P39" s="64" t="n">
        <v>35</v>
      </c>
      <c r="Q39" s="65">
        <f>P39-O39</f>
        <v/>
      </c>
      <c r="R39" s="66" t="n">
        <v>18</v>
      </c>
      <c r="S39" s="66" t="n">
        <v>7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194</v>
      </c>
      <c r="Y39" s="69" t="n">
        <v>41</v>
      </c>
      <c r="Z39" s="70">
        <f>X39+Y39</f>
        <v/>
      </c>
      <c r="AA39" s="71" t="n">
        <v>151</v>
      </c>
      <c r="AB39" s="71" t="n">
        <v>23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Alfred Jonathan</t>
        </is>
      </c>
      <c r="C40" s="57" t="inlineStr">
        <is>
          <t>alfredjonathan1986@gmail.com</t>
        </is>
      </c>
      <c r="D40" s="57" t="inlineStr">
        <is>
          <t>PCL</t>
        </is>
      </c>
      <c r="E40" s="57" t="inlineStr">
        <is>
          <t>(101) NUSA TABUKAN</t>
        </is>
      </c>
      <c r="F40" s="58" t="n">
        <v>253</v>
      </c>
      <c r="G40" s="58" t="n">
        <v>17</v>
      </c>
      <c r="H40" s="59">
        <f>F40+G40</f>
        <v/>
      </c>
      <c r="I40" s="60" t="n">
        <v>30</v>
      </c>
      <c r="J40" s="60" t="n">
        <v>11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30</v>
      </c>
      <c r="P40" s="64" t="n">
        <v>25</v>
      </c>
      <c r="Q40" s="65">
        <f>P40-O40</f>
        <v/>
      </c>
      <c r="R40" s="66" t="n">
        <v>11</v>
      </c>
      <c r="S40" s="66" t="n">
        <v>1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253</v>
      </c>
      <c r="Y40" s="69" t="n">
        <v>15</v>
      </c>
      <c r="Z40" s="70">
        <f>X40+Y40</f>
        <v/>
      </c>
      <c r="AA40" s="71" t="n">
        <v>223</v>
      </c>
      <c r="AB40" s="71" t="n">
        <v>4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Claudia Angelia Adam</t>
        </is>
      </c>
      <c r="C41" s="57" t="inlineStr">
        <is>
          <t>adamclaudia06@gmail.com</t>
        </is>
      </c>
      <c r="D41" s="57" t="inlineStr">
        <is>
          <t>PCL</t>
        </is>
      </c>
      <c r="E41" s="57" t="inlineStr">
        <is>
          <t>(090) TAHUNA</t>
        </is>
      </c>
      <c r="F41" s="58" t="n">
        <v>338</v>
      </c>
      <c r="G41" s="58" t="n">
        <v>22</v>
      </c>
      <c r="H41" s="59">
        <f>F41+G41</f>
        <v/>
      </c>
      <c r="I41" s="60" t="n">
        <v>87</v>
      </c>
      <c r="J41" s="60" t="n">
        <v>10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87</v>
      </c>
      <c r="P41" s="64" t="n">
        <v>43</v>
      </c>
      <c r="Q41" s="65">
        <f>P41-O41</f>
        <v/>
      </c>
      <c r="R41" s="66" t="n">
        <v>10</v>
      </c>
      <c r="S41" s="66" t="n">
        <v>0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258</v>
      </c>
      <c r="Y41" s="69" t="n">
        <v>13</v>
      </c>
      <c r="Z41" s="70">
        <f>X41+Y41</f>
        <v/>
      </c>
      <c r="AA41" s="71" t="n">
        <v>171</v>
      </c>
      <c r="AB41" s="71" t="n">
        <v>3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Adriano Arga Takahopekang</t>
        </is>
      </c>
      <c r="C42" s="57" t="inlineStr">
        <is>
          <t>adrianoargatakahopekang@gmail.com</t>
        </is>
      </c>
      <c r="D42" s="57" t="inlineStr">
        <is>
          <t>PCL</t>
        </is>
      </c>
      <c r="E42" s="57" t="inlineStr">
        <is>
          <t>(090) TAHUNA</t>
        </is>
      </c>
      <c r="F42" s="58" t="n">
        <v>321</v>
      </c>
      <c r="G42" s="58" t="n">
        <v>29</v>
      </c>
      <c r="H42" s="59">
        <f>F42+G42</f>
        <v/>
      </c>
      <c r="I42" s="60" t="n">
        <v>78</v>
      </c>
      <c r="J42" s="60" t="n">
        <v>9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78</v>
      </c>
      <c r="P42" s="64" t="n">
        <v>30</v>
      </c>
      <c r="Q42" s="65">
        <f>P42-O42</f>
        <v/>
      </c>
      <c r="R42" s="66" t="n">
        <v>9</v>
      </c>
      <c r="S42" s="66" t="n">
        <v>0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183</v>
      </c>
      <c r="Y42" s="69" t="n">
        <v>10</v>
      </c>
      <c r="Z42" s="70">
        <f>X42+Y42</f>
        <v/>
      </c>
      <c r="AA42" s="71" t="n">
        <v>105</v>
      </c>
      <c r="AB42" s="71" t="n">
        <v>1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Fransiska Paolin Tumbale</t>
        </is>
      </c>
      <c r="C43" s="57" t="inlineStr">
        <is>
          <t>fransiskapaolin@gmail.com</t>
        </is>
      </c>
      <c r="D43" s="57" t="inlineStr">
        <is>
          <t>PCL</t>
        </is>
      </c>
      <c r="E43" s="57" t="inlineStr">
        <is>
          <t>(092) TAHUNA BARAT</t>
        </is>
      </c>
      <c r="F43" s="58" t="n">
        <v>397</v>
      </c>
      <c r="G43" s="58" t="n">
        <v>36</v>
      </c>
      <c r="H43" s="59">
        <f>F43+G43</f>
        <v/>
      </c>
      <c r="I43" s="60" t="n">
        <v>53</v>
      </c>
      <c r="J43" s="60" t="n">
        <v>10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53</v>
      </c>
      <c r="P43" s="64" t="n">
        <v>21</v>
      </c>
      <c r="Q43" s="65">
        <f>P43-O43</f>
        <v/>
      </c>
      <c r="R43" s="66" t="n">
        <v>10</v>
      </c>
      <c r="S43" s="66" t="n">
        <v>1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266</v>
      </c>
      <c r="Y43" s="69" t="n">
        <v>18</v>
      </c>
      <c r="Z43" s="70">
        <f>X43+Y43</f>
        <v/>
      </c>
      <c r="AA43" s="71" t="n">
        <v>213</v>
      </c>
      <c r="AB43" s="71" t="n">
        <v>8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Geovani Marchiano Monok</t>
        </is>
      </c>
      <c r="C44" s="57" t="inlineStr">
        <is>
          <t>geovanimonok34@gmail.com</t>
        </is>
      </c>
      <c r="D44" s="57" t="inlineStr">
        <is>
          <t>PCL</t>
        </is>
      </c>
      <c r="E44" s="57" t="inlineStr">
        <is>
          <t>(080) MANGANITU</t>
        </is>
      </c>
      <c r="F44" s="58" t="n">
        <v>328</v>
      </c>
      <c r="G44" s="58" t="n">
        <v>27</v>
      </c>
      <c r="H44" s="59">
        <f>F44+G44</f>
        <v/>
      </c>
      <c r="I44" s="60" t="n">
        <v>49</v>
      </c>
      <c r="J44" s="60" t="n">
        <v>9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49</v>
      </c>
      <c r="P44" s="64" t="n">
        <v>20</v>
      </c>
      <c r="Q44" s="65">
        <f>P44-O44</f>
        <v/>
      </c>
      <c r="R44" s="66" t="n">
        <v>9</v>
      </c>
      <c r="S44" s="66" t="n">
        <v>0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214</v>
      </c>
      <c r="Y44" s="69" t="n">
        <v>13</v>
      </c>
      <c r="Z44" s="70">
        <f>X44+Y44</f>
        <v/>
      </c>
      <c r="AA44" s="71" t="n">
        <v>165</v>
      </c>
      <c r="AB44" s="71" t="n">
        <v>4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Ritmawati Siliwire</t>
        </is>
      </c>
      <c r="C45" s="57" t="inlineStr">
        <is>
          <t>ritmawatisiliwire03@gmail.com</t>
        </is>
      </c>
      <c r="D45" s="57" t="inlineStr">
        <is>
          <t>PCL</t>
        </is>
      </c>
      <c r="E45" s="57" t="inlineStr">
        <is>
          <t>(091) TAHUNA TIMUR</t>
        </is>
      </c>
      <c r="F45" s="58" t="n">
        <v>367</v>
      </c>
      <c r="G45" s="58" t="n">
        <v>46</v>
      </c>
      <c r="H45" s="59">
        <f>F45+G45</f>
        <v/>
      </c>
      <c r="I45" s="60" t="n">
        <v>74</v>
      </c>
      <c r="J45" s="60" t="n">
        <v>20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74</v>
      </c>
      <c r="P45" s="64" t="n">
        <v>90</v>
      </c>
      <c r="Q45" s="65">
        <f>P45-O45</f>
        <v/>
      </c>
      <c r="R45" s="66" t="n">
        <v>20</v>
      </c>
      <c r="S45" s="66" t="n">
        <v>11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296</v>
      </c>
      <c r="Y45" s="69" t="n">
        <v>39</v>
      </c>
      <c r="Z45" s="70">
        <f>X45+Y45</f>
        <v/>
      </c>
      <c r="AA45" s="71" t="n">
        <v>222</v>
      </c>
      <c r="AB45" s="71" t="n">
        <v>19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Rubiani Mamuka</t>
        </is>
      </c>
      <c r="C46" s="57" t="inlineStr">
        <is>
          <t>mamukarubiany1990@gmail.com</t>
        </is>
      </c>
      <c r="D46" s="57" t="inlineStr">
        <is>
          <t>PCL</t>
        </is>
      </c>
      <c r="E46" s="57" t="inlineStr">
        <is>
          <t>(100) TABUKAN UTARA</t>
        </is>
      </c>
      <c r="F46" s="58" t="n">
        <v>371</v>
      </c>
      <c r="G46" s="58" t="n">
        <v>20</v>
      </c>
      <c r="H46" s="59">
        <f>F46+G46</f>
        <v/>
      </c>
      <c r="I46" s="60" t="n">
        <v>55</v>
      </c>
      <c r="J46" s="60" t="n">
        <v>12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55</v>
      </c>
      <c r="P46" s="64" t="n">
        <v>60</v>
      </c>
      <c r="Q46" s="65">
        <f>P46-O46</f>
        <v/>
      </c>
      <c r="R46" s="66" t="n">
        <v>12</v>
      </c>
      <c r="S46" s="66" t="n">
        <v>3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340</v>
      </c>
      <c r="Y46" s="69" t="n">
        <v>21</v>
      </c>
      <c r="Z46" s="70">
        <f>X46+Y46</f>
        <v/>
      </c>
      <c r="AA46" s="71" t="n">
        <v>285</v>
      </c>
      <c r="AB46" s="71" t="n">
        <v>9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Septian Gilbert Wuisan</t>
        </is>
      </c>
      <c r="C47" s="57" t="inlineStr">
        <is>
          <t>septianglbrtw97@gmail.com</t>
        </is>
      </c>
      <c r="D47" s="57" t="inlineStr">
        <is>
          <t>PCL</t>
        </is>
      </c>
      <c r="E47" s="57" t="inlineStr">
        <is>
          <t>(090) TAHUNA</t>
        </is>
      </c>
      <c r="F47" s="58" t="n">
        <v>356</v>
      </c>
      <c r="G47" s="58" t="n">
        <v>43</v>
      </c>
      <c r="H47" s="59">
        <f>F47+G47</f>
        <v/>
      </c>
      <c r="I47" s="60" t="n">
        <v>74</v>
      </c>
      <c r="J47" s="60" t="n">
        <v>14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74</v>
      </c>
      <c r="P47" s="64" t="n">
        <v>28</v>
      </c>
      <c r="Q47" s="65">
        <f>P47-O47</f>
        <v/>
      </c>
      <c r="R47" s="66" t="n">
        <v>14</v>
      </c>
      <c r="S47" s="66" t="n">
        <v>5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206</v>
      </c>
      <c r="Y47" s="69" t="n">
        <v>20</v>
      </c>
      <c r="Z47" s="70">
        <f>X47+Y47</f>
        <v/>
      </c>
      <c r="AA47" s="71" t="n">
        <v>132</v>
      </c>
      <c r="AB47" s="71" t="n">
        <v>6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Srirahayu Durumias</t>
        </is>
      </c>
      <c r="C48" s="57" t="inlineStr">
        <is>
          <t>srirahayudurumias@gmail.com</t>
        </is>
      </c>
      <c r="D48" s="57" t="inlineStr">
        <is>
          <t>PCL</t>
        </is>
      </c>
      <c r="E48" s="57" t="inlineStr">
        <is>
          <t>(110) KENDAHE</t>
        </is>
      </c>
      <c r="F48" s="58" t="n">
        <v>242</v>
      </c>
      <c r="G48" s="58" t="n">
        <v>19</v>
      </c>
      <c r="H48" s="59">
        <f>F48+G48</f>
        <v/>
      </c>
      <c r="I48" s="60" t="n">
        <v>47</v>
      </c>
      <c r="J48" s="60" t="n">
        <v>10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47</v>
      </c>
      <c r="P48" s="64" t="n">
        <v>9</v>
      </c>
      <c r="Q48" s="65">
        <f>P48-O48</f>
        <v/>
      </c>
      <c r="R48" s="66" t="n">
        <v>10</v>
      </c>
      <c r="S48" s="66" t="n">
        <v>1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154</v>
      </c>
      <c r="Y48" s="69" t="n">
        <v>14</v>
      </c>
      <c r="Z48" s="70">
        <f>X48+Y48</f>
        <v/>
      </c>
      <c r="AA48" s="71" t="n">
        <v>107</v>
      </c>
      <c r="AB48" s="71" t="n">
        <v>4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Ardi Brian Silas Saul</t>
        </is>
      </c>
      <c r="C49" s="57" t="inlineStr">
        <is>
          <t>brayenabssaul@gmail.com</t>
        </is>
      </c>
      <c r="D49" s="57" t="inlineStr">
        <is>
          <t>PCL</t>
        </is>
      </c>
      <c r="E49" s="57" t="inlineStr">
        <is>
          <t>(080) MANGANITU</t>
        </is>
      </c>
      <c r="F49" s="58" t="n">
        <v>312</v>
      </c>
      <c r="G49" s="58" t="n">
        <v>41</v>
      </c>
      <c r="H49" s="59">
        <f>F49+G49</f>
        <v/>
      </c>
      <c r="I49" s="60" t="n">
        <v>25</v>
      </c>
      <c r="J49" s="60" t="n">
        <v>11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25</v>
      </c>
      <c r="P49" s="64" t="n">
        <v>31</v>
      </c>
      <c r="Q49" s="65">
        <f>P49-O49</f>
        <v/>
      </c>
      <c r="R49" s="66" t="n">
        <v>11</v>
      </c>
      <c r="S49" s="66" t="n">
        <v>3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206</v>
      </c>
      <c r="Y49" s="69" t="n">
        <v>24</v>
      </c>
      <c r="Z49" s="70">
        <f>X49+Y49</f>
        <v/>
      </c>
      <c r="AA49" s="71" t="n">
        <v>181</v>
      </c>
      <c r="AB49" s="71" t="n">
        <v>13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Ivan Christian Sasenga</t>
        </is>
      </c>
      <c r="C50" s="57" t="inlineStr">
        <is>
          <t>sasengaivan@gmail.com</t>
        </is>
      </c>
      <c r="D50" s="57" t="inlineStr">
        <is>
          <t>PCL</t>
        </is>
      </c>
      <c r="E50" s="57" t="inlineStr">
        <is>
          <t>(090) TAHUNA</t>
        </is>
      </c>
      <c r="F50" s="58" t="n">
        <v>340</v>
      </c>
      <c r="G50" s="58" t="n">
        <v>57</v>
      </c>
      <c r="H50" s="59">
        <f>F50+G50</f>
        <v/>
      </c>
      <c r="I50" s="60" t="n">
        <v>58</v>
      </c>
      <c r="J50" s="60" t="n">
        <v>13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58</v>
      </c>
      <c r="P50" s="64" t="n">
        <v>53</v>
      </c>
      <c r="Q50" s="65">
        <f>P50-O50</f>
        <v/>
      </c>
      <c r="R50" s="66" t="n">
        <v>13</v>
      </c>
      <c r="S50" s="66" t="n">
        <v>5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200</v>
      </c>
      <c r="Y50" s="69" t="n">
        <v>28</v>
      </c>
      <c r="Z50" s="70">
        <f>X50+Y50</f>
        <v/>
      </c>
      <c r="AA50" s="71" t="n">
        <v>142</v>
      </c>
      <c r="AB50" s="71" t="n">
        <v>15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Kristia Mirnawati Tumpias</t>
        </is>
      </c>
      <c r="C51" s="57" t="inlineStr">
        <is>
          <t>tumpiask@gmail.com</t>
        </is>
      </c>
      <c r="D51" s="57" t="inlineStr">
        <is>
          <t>PCL</t>
        </is>
      </c>
      <c r="E51" s="57" t="inlineStr">
        <is>
          <t>(040) MANGANITU SELATAN</t>
        </is>
      </c>
      <c r="F51" s="58" t="n">
        <v>273</v>
      </c>
      <c r="G51" s="58" t="n">
        <v>30</v>
      </c>
      <c r="H51" s="59">
        <f>F51+G51</f>
        <v/>
      </c>
      <c r="I51" s="60" t="n">
        <v>65</v>
      </c>
      <c r="J51" s="60" t="n">
        <v>13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65</v>
      </c>
      <c r="P51" s="64" t="n">
        <v>56</v>
      </c>
      <c r="Q51" s="65">
        <f>P51-O51</f>
        <v/>
      </c>
      <c r="R51" s="66" t="n">
        <v>13</v>
      </c>
      <c r="S51" s="66" t="n">
        <v>5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268</v>
      </c>
      <c r="Y51" s="69" t="n">
        <v>34</v>
      </c>
      <c r="Z51" s="70">
        <f>X51+Y51</f>
        <v/>
      </c>
      <c r="AA51" s="71" t="n">
        <v>203</v>
      </c>
      <c r="AB51" s="71" t="n">
        <v>21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Mabelkhan Ladorang</t>
        </is>
      </c>
      <c r="C52" s="57" t="inlineStr">
        <is>
          <t>mabelkhanladorang777@gmail.com</t>
        </is>
      </c>
      <c r="D52" s="57" t="inlineStr">
        <is>
          <t>PCL</t>
        </is>
      </c>
      <c r="E52" s="57" t="inlineStr">
        <is>
          <t>(061) TABUKAN SELATAN TENGAH &amp; (062) TABUKAN SELATAN TENGGARA</t>
        </is>
      </c>
      <c r="F52" s="58" t="n">
        <v>253</v>
      </c>
      <c r="G52" s="58" t="n">
        <v>26</v>
      </c>
      <c r="H52" s="59">
        <f>F52+G52</f>
        <v/>
      </c>
      <c r="I52" s="60" t="n">
        <v>11</v>
      </c>
      <c r="J52" s="60" t="n">
        <v>9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11</v>
      </c>
      <c r="P52" s="64" t="n">
        <v>11</v>
      </c>
      <c r="Q52" s="65">
        <f>P52-O52</f>
        <v/>
      </c>
      <c r="R52" s="66" t="n">
        <v>9</v>
      </c>
      <c r="S52" s="66" t="n">
        <v>1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135</v>
      </c>
      <c r="Y52" s="69" t="n">
        <v>13</v>
      </c>
      <c r="Z52" s="70">
        <f>X52+Y52</f>
        <v/>
      </c>
      <c r="AA52" s="71" t="n">
        <v>124</v>
      </c>
      <c r="AB52" s="71" t="n">
        <v>4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Maknany Sasiang</t>
        </is>
      </c>
      <c r="C53" s="57" t="inlineStr">
        <is>
          <t>maknany.sasiang@gmail.com</t>
        </is>
      </c>
      <c r="D53" s="57" t="inlineStr">
        <is>
          <t>PCL</t>
        </is>
      </c>
      <c r="E53" s="57" t="inlineStr">
        <is>
          <t>(090) TAHUNA</t>
        </is>
      </c>
      <c r="F53" s="58" t="n">
        <v>292</v>
      </c>
      <c r="G53" s="58" t="n">
        <v>81</v>
      </c>
      <c r="H53" s="59">
        <f>F53+G53</f>
        <v/>
      </c>
      <c r="I53" s="60" t="n">
        <v>59</v>
      </c>
      <c r="J53" s="60" t="n">
        <v>22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59</v>
      </c>
      <c r="P53" s="64" t="n">
        <v>16</v>
      </c>
      <c r="Q53" s="65">
        <f>P53-O53</f>
        <v/>
      </c>
      <c r="R53" s="66" t="n">
        <v>22</v>
      </c>
      <c r="S53" s="66" t="n">
        <v>14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236</v>
      </c>
      <c r="Y53" s="69" t="n">
        <v>56</v>
      </c>
      <c r="Z53" s="70">
        <f>X53+Y53</f>
        <v/>
      </c>
      <c r="AA53" s="71" t="n">
        <v>177</v>
      </c>
      <c r="AB53" s="71" t="n">
        <v>34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Nurhayati Mangentiku</t>
        </is>
      </c>
      <c r="C54" s="57" t="inlineStr">
        <is>
          <t>nurhayatimangentiku1992@gmail.com</t>
        </is>
      </c>
      <c r="D54" s="57" t="inlineStr">
        <is>
          <t>PCL</t>
        </is>
      </c>
      <c r="E54" s="57" t="inlineStr">
        <is>
          <t>(100) TABUKAN UTARA</t>
        </is>
      </c>
      <c r="F54" s="58" t="n">
        <v>299</v>
      </c>
      <c r="G54" s="58" t="n">
        <v>26</v>
      </c>
      <c r="H54" s="59">
        <f>F54+G54</f>
        <v/>
      </c>
      <c r="I54" s="60" t="n">
        <v>57</v>
      </c>
      <c r="J54" s="60" t="n">
        <v>17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57</v>
      </c>
      <c r="P54" s="64" t="n">
        <v>38</v>
      </c>
      <c r="Q54" s="65">
        <f>P54-O54</f>
        <v/>
      </c>
      <c r="R54" s="66" t="n">
        <v>17</v>
      </c>
      <c r="S54" s="66" t="n">
        <v>9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281</v>
      </c>
      <c r="Y54" s="69" t="n">
        <v>28</v>
      </c>
      <c r="Z54" s="70">
        <f>X54+Y54</f>
        <v/>
      </c>
      <c r="AA54" s="71" t="n">
        <v>224</v>
      </c>
      <c r="AB54" s="71" t="n">
        <v>11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Priskila Bawotong</t>
        </is>
      </c>
      <c r="C55" s="57" t="inlineStr">
        <is>
          <t>priskilabawotong@gmail.com</t>
        </is>
      </c>
      <c r="D55" s="57" t="inlineStr">
        <is>
          <t>PCL</t>
        </is>
      </c>
      <c r="E55" s="57" t="inlineStr">
        <is>
          <t>(080) MANGANITU</t>
        </is>
      </c>
      <c r="F55" s="58" t="n">
        <v>312</v>
      </c>
      <c r="G55" s="58" t="n">
        <v>32</v>
      </c>
      <c r="H55" s="59">
        <f>F55+G55</f>
        <v/>
      </c>
      <c r="I55" s="60" t="n">
        <v>8</v>
      </c>
      <c r="J55" s="60" t="n">
        <v>12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8</v>
      </c>
      <c r="P55" s="64" t="n">
        <v>45</v>
      </c>
      <c r="Q55" s="65">
        <f>P55-O55</f>
        <v/>
      </c>
      <c r="R55" s="66" t="n">
        <v>12</v>
      </c>
      <c r="S55" s="66" t="n">
        <v>4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171</v>
      </c>
      <c r="Y55" s="69" t="n">
        <v>24</v>
      </c>
      <c r="Z55" s="70">
        <f>X55+Y55</f>
        <v/>
      </c>
      <c r="AA55" s="71" t="n">
        <v>163</v>
      </c>
      <c r="AB55" s="71" t="n">
        <v>12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Wahyudi Hapit</t>
        </is>
      </c>
      <c r="C56" s="57" t="inlineStr">
        <is>
          <t>hapitudhy@gmail.com</t>
        </is>
      </c>
      <c r="D56" s="57" t="inlineStr">
        <is>
          <t>PCL</t>
        </is>
      </c>
      <c r="E56" s="57" t="inlineStr">
        <is>
          <t>(091) TAHUNA TIMUR</t>
        </is>
      </c>
      <c r="F56" s="58" t="n">
        <v>377</v>
      </c>
      <c r="G56" s="58" t="n">
        <v>56</v>
      </c>
      <c r="H56" s="59">
        <f>F56+G56</f>
        <v/>
      </c>
      <c r="I56" s="60" t="n">
        <v>61</v>
      </c>
      <c r="J56" s="60" t="n">
        <v>12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61</v>
      </c>
      <c r="P56" s="64" t="n">
        <v>23</v>
      </c>
      <c r="Q56" s="65">
        <f>P56-O56</f>
        <v/>
      </c>
      <c r="R56" s="66" t="n">
        <v>12</v>
      </c>
      <c r="S56" s="66" t="n">
        <v>4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297</v>
      </c>
      <c r="Y56" s="69" t="n">
        <v>28</v>
      </c>
      <c r="Z56" s="70">
        <f>X56+Y56</f>
        <v/>
      </c>
      <c r="AA56" s="71" t="n">
        <v>236</v>
      </c>
      <c r="AB56" s="71" t="n">
        <v>16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Novianty Key</t>
        </is>
      </c>
      <c r="C57" s="57" t="inlineStr">
        <is>
          <t>noviantykey5@gmail.com</t>
        </is>
      </c>
      <c r="D57" s="57" t="inlineStr">
        <is>
          <t>PCL</t>
        </is>
      </c>
      <c r="E57" s="57" t="inlineStr">
        <is>
          <t>(100) TABUKAN UTARA</t>
        </is>
      </c>
      <c r="F57" s="58" t="n">
        <v>321</v>
      </c>
      <c r="G57" s="58" t="n">
        <v>33</v>
      </c>
      <c r="H57" s="59">
        <f>F57+G57</f>
        <v/>
      </c>
      <c r="I57" s="60" t="n">
        <v>29</v>
      </c>
      <c r="J57" s="60" t="n">
        <v>17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29</v>
      </c>
      <c r="P57" s="64" t="n">
        <v>52</v>
      </c>
      <c r="Q57" s="65">
        <f>P57-O57</f>
        <v/>
      </c>
      <c r="R57" s="66" t="n">
        <v>17</v>
      </c>
      <c r="S57" s="66" t="n">
        <v>10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218</v>
      </c>
      <c r="Y57" s="69" t="n">
        <v>34</v>
      </c>
      <c r="Z57" s="70">
        <f>X57+Y57</f>
        <v/>
      </c>
      <c r="AA57" s="71" t="n">
        <v>189</v>
      </c>
      <c r="AB57" s="71" t="n">
        <v>17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Asari Prisilia Antari</t>
        </is>
      </c>
      <c r="C58" s="57" t="inlineStr">
        <is>
          <t>asaripantari@gmail.com</t>
        </is>
      </c>
      <c r="D58" s="57" t="inlineStr">
        <is>
          <t>PCL</t>
        </is>
      </c>
      <c r="E58" s="57" t="inlineStr">
        <is>
          <t>(050) TAMAKO</t>
        </is>
      </c>
      <c r="F58" s="58" t="n">
        <v>352</v>
      </c>
      <c r="G58" s="58" t="n">
        <v>16</v>
      </c>
      <c r="H58" s="59">
        <f>F58+G58</f>
        <v/>
      </c>
      <c r="I58" s="60" t="n">
        <v>73</v>
      </c>
      <c r="J58" s="60" t="n">
        <v>13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73</v>
      </c>
      <c r="P58" s="64" t="n">
        <v>6</v>
      </c>
      <c r="Q58" s="65">
        <f>P58-O58</f>
        <v/>
      </c>
      <c r="R58" s="66" t="n">
        <v>13</v>
      </c>
      <c r="S58" s="66" t="n">
        <v>7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312</v>
      </c>
      <c r="Y58" s="69" t="n">
        <v>20</v>
      </c>
      <c r="Z58" s="70">
        <f>X58+Y58</f>
        <v/>
      </c>
      <c r="AA58" s="71" t="n">
        <v>239</v>
      </c>
      <c r="AB58" s="71" t="n">
        <v>7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Juanric Eben Misarios Rakinaung</t>
        </is>
      </c>
      <c r="C59" s="57" t="inlineStr">
        <is>
          <t>juanricrakinaung@gmail.com</t>
        </is>
      </c>
      <c r="D59" s="57" t="inlineStr">
        <is>
          <t>PCL</t>
        </is>
      </c>
      <c r="E59" s="57" t="inlineStr">
        <is>
          <t>(040) MANGANITU SELATAN</t>
        </is>
      </c>
      <c r="F59" s="58" t="n">
        <v>296</v>
      </c>
      <c r="G59" s="58" t="n">
        <v>12</v>
      </c>
      <c r="H59" s="59">
        <f>F59+G59</f>
        <v/>
      </c>
      <c r="I59" s="60" t="n">
        <v>19</v>
      </c>
      <c r="J59" s="60" t="n">
        <v>8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19</v>
      </c>
      <c r="P59" s="64" t="n">
        <v>19</v>
      </c>
      <c r="Q59" s="65">
        <f>P59-O59</f>
        <v/>
      </c>
      <c r="R59" s="66" t="n">
        <v>8</v>
      </c>
      <c r="S59" s="66" t="n">
        <v>2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175</v>
      </c>
      <c r="Y59" s="69" t="n">
        <v>12</v>
      </c>
      <c r="Z59" s="70">
        <f>X59+Y59</f>
        <v/>
      </c>
      <c r="AA59" s="71" t="n">
        <v>156</v>
      </c>
      <c r="AB59" s="71" t="n">
        <v>4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Ratna Sari Tumuwe</t>
        </is>
      </c>
      <c r="C60" s="57" t="inlineStr">
        <is>
          <t>ratnatumuwe41@gmail.com</t>
        </is>
      </c>
      <c r="D60" s="57" t="inlineStr">
        <is>
          <t>PCL</t>
        </is>
      </c>
      <c r="E60" s="57" t="inlineStr">
        <is>
          <t>(092) TAHUNA BARAT</t>
        </is>
      </c>
      <c r="F60" s="58" t="n">
        <v>431</v>
      </c>
      <c r="G60" s="58" t="n">
        <v>28</v>
      </c>
      <c r="H60" s="59">
        <f>F60+G60</f>
        <v/>
      </c>
      <c r="I60" s="60" t="n">
        <v>50</v>
      </c>
      <c r="J60" s="60" t="n">
        <v>8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50</v>
      </c>
      <c r="P60" s="64" t="n">
        <v>33</v>
      </c>
      <c r="Q60" s="65">
        <f>P60-O60</f>
        <v/>
      </c>
      <c r="R60" s="66" t="n">
        <v>8</v>
      </c>
      <c r="S60" s="66" t="n">
        <v>2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258</v>
      </c>
      <c r="Y60" s="69" t="n">
        <v>18</v>
      </c>
      <c r="Z60" s="70">
        <f>X60+Y60</f>
        <v/>
      </c>
      <c r="AA60" s="71" t="n">
        <v>208</v>
      </c>
      <c r="AB60" s="71" t="n">
        <v>10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Christian Megawe</t>
        </is>
      </c>
      <c r="C61" s="57" t="inlineStr">
        <is>
          <t>megawechristian@gmail.com</t>
        </is>
      </c>
      <c r="D61" s="57" t="inlineStr">
        <is>
          <t>PCL</t>
        </is>
      </c>
      <c r="E61" s="57" t="inlineStr">
        <is>
          <t>(050) TAMAKO</t>
        </is>
      </c>
      <c r="F61" s="58" t="n">
        <v>336</v>
      </c>
      <c r="G61" s="58" t="n">
        <v>32</v>
      </c>
      <c r="H61" s="59">
        <f>F61+G61</f>
        <v/>
      </c>
      <c r="I61" s="60" t="n">
        <v>44</v>
      </c>
      <c r="J61" s="60" t="n">
        <v>15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44</v>
      </c>
      <c r="P61" s="64" t="n">
        <v>71</v>
      </c>
      <c r="Q61" s="65">
        <f>P61-O61</f>
        <v/>
      </c>
      <c r="R61" s="66" t="n">
        <v>15</v>
      </c>
      <c r="S61" s="66" t="n">
        <v>10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263</v>
      </c>
      <c r="Y61" s="69" t="n">
        <v>34</v>
      </c>
      <c r="Z61" s="70">
        <f>X61+Y61</f>
        <v/>
      </c>
      <c r="AA61" s="71" t="n">
        <v>219</v>
      </c>
      <c r="AB61" s="71" t="n">
        <v>19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Fadli Samalam</t>
        </is>
      </c>
      <c r="C62" s="57" t="inlineStr">
        <is>
          <t>fadlysamalam052@gmail.com</t>
        </is>
      </c>
      <c r="D62" s="57" t="inlineStr">
        <is>
          <t>PCL</t>
        </is>
      </c>
      <c r="E62" s="57" t="inlineStr">
        <is>
          <t>(100) TABUKAN UTARA</t>
        </is>
      </c>
      <c r="F62" s="58" t="n">
        <v>372</v>
      </c>
      <c r="G62" s="58" t="n">
        <v>16</v>
      </c>
      <c r="H62" s="59">
        <f>F62+G62</f>
        <v/>
      </c>
      <c r="I62" s="60" t="n">
        <v>39</v>
      </c>
      <c r="J62" s="60" t="n">
        <v>8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39</v>
      </c>
      <c r="P62" s="64" t="n">
        <v>41</v>
      </c>
      <c r="Q62" s="65">
        <f>P62-O62</f>
        <v/>
      </c>
      <c r="R62" s="66" t="n">
        <v>8</v>
      </c>
      <c r="S62" s="66" t="n">
        <v>3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304</v>
      </c>
      <c r="Y62" s="69" t="n">
        <v>14</v>
      </c>
      <c r="Z62" s="70">
        <f>X62+Y62</f>
        <v/>
      </c>
      <c r="AA62" s="71" t="n">
        <v>265</v>
      </c>
      <c r="AB62" s="71" t="n">
        <v>6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Siti Maryam Madonsa</t>
        </is>
      </c>
      <c r="C63" s="57" t="inlineStr">
        <is>
          <t>sitimadonsa5@gmail.com</t>
        </is>
      </c>
      <c r="D63" s="57" t="inlineStr">
        <is>
          <t>PCL</t>
        </is>
      </c>
      <c r="E63" s="57" t="inlineStr">
        <is>
          <t>(100) TABUKAN UTARA</t>
        </is>
      </c>
      <c r="F63" s="58" t="n">
        <v>356</v>
      </c>
      <c r="G63" s="58" t="n">
        <v>29</v>
      </c>
      <c r="H63" s="59">
        <f>F63+G63</f>
        <v/>
      </c>
      <c r="I63" s="60" t="n">
        <v>56</v>
      </c>
      <c r="J63" s="60" t="n">
        <v>14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56</v>
      </c>
      <c r="P63" s="64" t="n">
        <v>66</v>
      </c>
      <c r="Q63" s="65">
        <f>P63-O63</f>
        <v/>
      </c>
      <c r="R63" s="66" t="n">
        <v>14</v>
      </c>
      <c r="S63" s="66" t="n">
        <v>9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356</v>
      </c>
      <c r="Y63" s="69" t="n">
        <v>35</v>
      </c>
      <c r="Z63" s="70">
        <f>X63+Y63</f>
        <v/>
      </c>
      <c r="AA63" s="71" t="n">
        <v>300</v>
      </c>
      <c r="AB63" s="71" t="n">
        <v>21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Sry Ayu Permatasari Tamamile Manake</t>
        </is>
      </c>
      <c r="C64" s="57" t="inlineStr">
        <is>
          <t>sriayutamamile@gmail.com</t>
        </is>
      </c>
      <c r="D64" s="57" t="inlineStr">
        <is>
          <t>PCL</t>
        </is>
      </c>
      <c r="E64" s="57" t="inlineStr">
        <is>
          <t>(060) TABUKAN SELATAN</t>
        </is>
      </c>
      <c r="F64" s="58" t="n">
        <v>277</v>
      </c>
      <c r="G64" s="58" t="n">
        <v>43</v>
      </c>
      <c r="H64" s="59">
        <f>F64+G64</f>
        <v/>
      </c>
      <c r="I64" s="60" t="n">
        <v>43</v>
      </c>
      <c r="J64" s="60" t="n">
        <v>6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43</v>
      </c>
      <c r="P64" s="64" t="n">
        <v>32</v>
      </c>
      <c r="Q64" s="65">
        <f>P64-O64</f>
        <v/>
      </c>
      <c r="R64" s="66" t="n">
        <v>6</v>
      </c>
      <c r="S64" s="66" t="n">
        <v>1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201</v>
      </c>
      <c r="Y64" s="69" t="n">
        <v>22</v>
      </c>
      <c r="Z64" s="70">
        <f>X64+Y64</f>
        <v/>
      </c>
      <c r="AA64" s="71" t="n">
        <v>158</v>
      </c>
      <c r="AB64" s="71" t="n">
        <v>16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Winda Metia</t>
        </is>
      </c>
      <c r="C65" s="57" t="inlineStr">
        <is>
          <t>windametia67@gmail.com</t>
        </is>
      </c>
      <c r="D65" s="57" t="inlineStr">
        <is>
          <t>PCL</t>
        </is>
      </c>
      <c r="E65" s="57" t="inlineStr">
        <is>
          <t>(040) MANGANITU SELATAN</t>
        </is>
      </c>
      <c r="F65" s="58" t="n">
        <v>303</v>
      </c>
      <c r="G65" s="58" t="n">
        <v>15</v>
      </c>
      <c r="H65" s="59">
        <f>F65+G65</f>
        <v/>
      </c>
      <c r="I65" s="60" t="n">
        <v>48</v>
      </c>
      <c r="J65" s="60" t="n">
        <v>7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48</v>
      </c>
      <c r="P65" s="64" t="n">
        <v>31</v>
      </c>
      <c r="Q65" s="65">
        <f>P65-O65</f>
        <v/>
      </c>
      <c r="R65" s="66" t="n">
        <v>7</v>
      </c>
      <c r="S65" s="66" t="n">
        <v>2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253</v>
      </c>
      <c r="Y65" s="69" t="n">
        <v>14</v>
      </c>
      <c r="Z65" s="70">
        <f>X65+Y65</f>
        <v/>
      </c>
      <c r="AA65" s="71" t="n">
        <v>205</v>
      </c>
      <c r="AB65" s="71" t="n">
        <v>7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Yosua Bawembang</t>
        </is>
      </c>
      <c r="C66" s="57" t="inlineStr">
        <is>
          <t>ybawembang@gmail.com</t>
        </is>
      </c>
      <c r="D66" s="57" t="inlineStr">
        <is>
          <t>PCL</t>
        </is>
      </c>
      <c r="E66" s="57" t="inlineStr">
        <is>
          <t>(040) MANGANITU SELATAN</t>
        </is>
      </c>
      <c r="F66" s="58" t="n">
        <v>283</v>
      </c>
      <c r="G66" s="58" t="n">
        <v>108</v>
      </c>
      <c r="H66" s="59">
        <f>F66+G66</f>
        <v/>
      </c>
      <c r="I66" s="60" t="n">
        <v>45</v>
      </c>
      <c r="J66" s="60" t="n">
        <v>19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45</v>
      </c>
      <c r="P66" s="64" t="n">
        <v>16</v>
      </c>
      <c r="Q66" s="65">
        <f>P66-O66</f>
        <v/>
      </c>
      <c r="R66" s="66" t="n">
        <v>19</v>
      </c>
      <c r="S66" s="66" t="n">
        <v>14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241</v>
      </c>
      <c r="Y66" s="69" t="n">
        <v>65</v>
      </c>
      <c r="Z66" s="70">
        <f>X66+Y66</f>
        <v/>
      </c>
      <c r="AA66" s="71" t="n">
        <v>196</v>
      </c>
      <c r="AB66" s="71" t="n">
        <v>46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Yudhistira Prasetya Tangkabiringan</t>
        </is>
      </c>
      <c r="C67" s="57" t="inlineStr">
        <is>
          <t>yudhistiratangkabiringan@gmail.com</t>
        </is>
      </c>
      <c r="D67" s="57" t="inlineStr">
        <is>
          <t>PCL</t>
        </is>
      </c>
      <c r="E67" s="57" t="inlineStr">
        <is>
          <t>(090) TAHUNA</t>
        </is>
      </c>
      <c r="F67" s="58" t="n">
        <v>359</v>
      </c>
      <c r="G67" s="58" t="n">
        <v>22</v>
      </c>
      <c r="H67" s="59">
        <f>F67+G67</f>
        <v/>
      </c>
      <c r="I67" s="60" t="n">
        <v>31</v>
      </c>
      <c r="J67" s="60" t="n">
        <v>9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31</v>
      </c>
      <c r="P67" s="64" t="n">
        <v>9</v>
      </c>
      <c r="Q67" s="65">
        <f>P67-O67</f>
        <v/>
      </c>
      <c r="R67" s="66" t="n">
        <v>9</v>
      </c>
      <c r="S67" s="66" t="n">
        <v>4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229</v>
      </c>
      <c r="Y67" s="69" t="n">
        <v>18</v>
      </c>
      <c r="Z67" s="70">
        <f>X67+Y67</f>
        <v/>
      </c>
      <c r="AA67" s="71" t="n">
        <v>198</v>
      </c>
      <c r="AB67" s="71" t="n">
        <v>9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Asyer Claudio Maralending</t>
        </is>
      </c>
      <c r="C68" s="57" t="inlineStr">
        <is>
          <t>asyermaralending@gmail.com</t>
        </is>
      </c>
      <c r="D68" s="57" t="inlineStr">
        <is>
          <t>PCL</t>
        </is>
      </c>
      <c r="E68" s="57" t="inlineStr">
        <is>
          <t>(091) TAHUNA TIMUR</t>
        </is>
      </c>
      <c r="F68" s="58" t="n">
        <v>395</v>
      </c>
      <c r="G68" s="58" t="n">
        <v>35</v>
      </c>
      <c r="H68" s="59">
        <f>F68+G68</f>
        <v/>
      </c>
      <c r="I68" s="60" t="n">
        <v>55</v>
      </c>
      <c r="J68" s="60" t="n">
        <v>5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55</v>
      </c>
      <c r="P68" s="64" t="n">
        <v>27</v>
      </c>
      <c r="Q68" s="65">
        <f>P68-O68</f>
        <v/>
      </c>
      <c r="R68" s="66" t="n">
        <v>5</v>
      </c>
      <c r="S68" s="66" t="n">
        <v>1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255</v>
      </c>
      <c r="Y68" s="69" t="n">
        <v>6</v>
      </c>
      <c r="Z68" s="70">
        <f>X68+Y68</f>
        <v/>
      </c>
      <c r="AA68" s="71" t="n">
        <v>200</v>
      </c>
      <c r="AB68" s="71" t="n">
        <v>1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Glenn Christi Palembang</t>
        </is>
      </c>
      <c r="C69" s="57" t="inlineStr">
        <is>
          <t>palembangglenn@gmail.com</t>
        </is>
      </c>
      <c r="D69" s="57" t="inlineStr">
        <is>
          <t>PCL</t>
        </is>
      </c>
      <c r="E69" s="57" t="inlineStr">
        <is>
          <t>(050) TAMAKO</t>
        </is>
      </c>
      <c r="F69" s="58" t="n">
        <v>344</v>
      </c>
      <c r="G69" s="58" t="n">
        <v>13</v>
      </c>
      <c r="H69" s="59">
        <f>F69+G69</f>
        <v/>
      </c>
      <c r="I69" s="60" t="n">
        <v>103</v>
      </c>
      <c r="J69" s="60" t="n">
        <v>10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103</v>
      </c>
      <c r="P69" s="64" t="n">
        <v>6</v>
      </c>
      <c r="Q69" s="65">
        <f>P69-O69</f>
        <v/>
      </c>
      <c r="R69" s="66" t="n">
        <v>10</v>
      </c>
      <c r="S69" s="66" t="n">
        <v>6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303</v>
      </c>
      <c r="Y69" s="69" t="n">
        <v>18</v>
      </c>
      <c r="Z69" s="70">
        <f>X69+Y69</f>
        <v/>
      </c>
      <c r="AA69" s="71" t="n">
        <v>200</v>
      </c>
      <c r="AB69" s="71" t="n">
        <v>8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Hasrita Hamenda</t>
        </is>
      </c>
      <c r="C70" s="57" t="inlineStr">
        <is>
          <t>hamendahasrita@gmail.com</t>
        </is>
      </c>
      <c r="D70" s="57" t="inlineStr">
        <is>
          <t>PCL</t>
        </is>
      </c>
      <c r="E70" s="57" t="inlineStr">
        <is>
          <t>(100) TABUKAN UTARA</t>
        </is>
      </c>
      <c r="F70" s="58" t="n">
        <v>322</v>
      </c>
      <c r="G70" s="58" t="n">
        <v>32</v>
      </c>
      <c r="H70" s="59">
        <f>F70+G70</f>
        <v/>
      </c>
      <c r="I70" s="60" t="n">
        <v>36</v>
      </c>
      <c r="J70" s="60" t="n">
        <v>9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36</v>
      </c>
      <c r="P70" s="64" t="n">
        <v>53</v>
      </c>
      <c r="Q70" s="65">
        <f>P70-O70</f>
        <v/>
      </c>
      <c r="R70" s="66" t="n">
        <v>9</v>
      </c>
      <c r="S70" s="66" t="n">
        <v>5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256</v>
      </c>
      <c r="Y70" s="69" t="n">
        <v>23</v>
      </c>
      <c r="Z70" s="70">
        <f>X70+Y70</f>
        <v/>
      </c>
      <c r="AA70" s="71" t="n">
        <v>220</v>
      </c>
      <c r="AB70" s="71" t="n">
        <v>14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Meisye Fransiska Samau</t>
        </is>
      </c>
      <c r="C71" s="57" t="inlineStr">
        <is>
          <t>meisyesamau32@gmail.com</t>
        </is>
      </c>
      <c r="D71" s="57" t="inlineStr">
        <is>
          <t>PCL</t>
        </is>
      </c>
      <c r="E71" s="57" t="inlineStr">
        <is>
          <t>(060) TABUKAN SELATAN</t>
        </is>
      </c>
      <c r="F71" s="58" t="n">
        <v>283</v>
      </c>
      <c r="G71" s="58" t="n">
        <v>36</v>
      </c>
      <c r="H71" s="59">
        <f>F71+G71</f>
        <v/>
      </c>
      <c r="I71" s="60" t="n">
        <v>57</v>
      </c>
      <c r="J71" s="60" t="n">
        <v>9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57</v>
      </c>
      <c r="P71" s="64" t="n">
        <v>59</v>
      </c>
      <c r="Q71" s="65">
        <f>P71-O71</f>
        <v/>
      </c>
      <c r="R71" s="66" t="n">
        <v>9</v>
      </c>
      <c r="S71" s="66" t="n">
        <v>5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272</v>
      </c>
      <c r="Y71" s="69" t="n">
        <v>31</v>
      </c>
      <c r="Z71" s="70">
        <f>X71+Y71</f>
        <v/>
      </c>
      <c r="AA71" s="71" t="n">
        <v>215</v>
      </c>
      <c r="AB71" s="71" t="n">
        <v>22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Nicky Jacson Taidi</t>
        </is>
      </c>
      <c r="C72" s="57" t="inlineStr">
        <is>
          <t>nickytaidi1986@gmail.com</t>
        </is>
      </c>
      <c r="D72" s="57" t="inlineStr">
        <is>
          <t>PCL</t>
        </is>
      </c>
      <c r="E72" s="57" t="inlineStr">
        <is>
          <t>(050) TAMAKO</t>
        </is>
      </c>
      <c r="F72" s="58" t="n">
        <v>334</v>
      </c>
      <c r="G72" s="58" t="n">
        <v>18</v>
      </c>
      <c r="H72" s="59">
        <f>F72+G72</f>
        <v/>
      </c>
      <c r="I72" s="60" t="n">
        <v>44</v>
      </c>
      <c r="J72" s="60" t="n">
        <v>7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44</v>
      </c>
      <c r="P72" s="64" t="n">
        <v>33</v>
      </c>
      <c r="Q72" s="65">
        <f>P72-O72</f>
        <v/>
      </c>
      <c r="R72" s="66" t="n">
        <v>7</v>
      </c>
      <c r="S72" s="66" t="n">
        <v>3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248</v>
      </c>
      <c r="Y72" s="69" t="n">
        <v>14</v>
      </c>
      <c r="Z72" s="70">
        <f>X72+Y72</f>
        <v/>
      </c>
      <c r="AA72" s="71" t="n">
        <v>204</v>
      </c>
      <c r="AB72" s="71" t="n">
        <v>7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Nur Alifah Kasilialang</t>
        </is>
      </c>
      <c r="C73" s="57" t="inlineStr">
        <is>
          <t>kasilialangnuralifah@gmail.com</t>
        </is>
      </c>
      <c r="D73" s="57" t="inlineStr">
        <is>
          <t>PCL</t>
        </is>
      </c>
      <c r="E73" s="57" t="inlineStr">
        <is>
          <t>(110) KENDAHE</t>
        </is>
      </c>
      <c r="F73" s="58" t="n">
        <v>402</v>
      </c>
      <c r="G73" s="58" t="n">
        <v>34</v>
      </c>
      <c r="H73" s="59">
        <f>F73+G73</f>
        <v/>
      </c>
      <c r="I73" s="60" t="n">
        <v>51</v>
      </c>
      <c r="J73" s="60" t="n">
        <v>12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51</v>
      </c>
      <c r="P73" s="64" t="n">
        <v>54</v>
      </c>
      <c r="Q73" s="65">
        <f>P73-O73</f>
        <v/>
      </c>
      <c r="R73" s="66" t="n">
        <v>12</v>
      </c>
      <c r="S73" s="66" t="n">
        <v>8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284</v>
      </c>
      <c r="Y73" s="69" t="n">
        <v>24</v>
      </c>
      <c r="Z73" s="70">
        <f>X73+Y73</f>
        <v/>
      </c>
      <c r="AA73" s="71" t="n">
        <v>233</v>
      </c>
      <c r="AB73" s="71" t="n">
        <v>12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Rendy Julio Bangonang</t>
        </is>
      </c>
      <c r="C74" s="57" t="inlineStr">
        <is>
          <t>rendybangonang@gmail.com</t>
        </is>
      </c>
      <c r="D74" s="57" t="inlineStr">
        <is>
          <t>PCL</t>
        </is>
      </c>
      <c r="E74" s="57" t="inlineStr">
        <is>
          <t>(092) TAHUNA BARAT</t>
        </is>
      </c>
      <c r="F74" s="58" t="n">
        <v>396</v>
      </c>
      <c r="G74" s="58" t="n">
        <v>22</v>
      </c>
      <c r="H74" s="59">
        <f>F74+G74</f>
        <v/>
      </c>
      <c r="I74" s="60" t="n">
        <v>28</v>
      </c>
      <c r="J74" s="60" t="n">
        <v>5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28</v>
      </c>
      <c r="P74" s="64" t="n">
        <v>18</v>
      </c>
      <c r="Q74" s="65">
        <f>P74-O74</f>
        <v/>
      </c>
      <c r="R74" s="66" t="n">
        <v>5</v>
      </c>
      <c r="S74" s="66" t="n">
        <v>1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264</v>
      </c>
      <c r="Y74" s="69" t="n">
        <v>8</v>
      </c>
      <c r="Z74" s="70">
        <f>X74+Y74</f>
        <v/>
      </c>
      <c r="AA74" s="71" t="n">
        <v>236</v>
      </c>
      <c r="AB74" s="71" t="n">
        <v>3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Veronika Saletia</t>
        </is>
      </c>
      <c r="C75" s="57" t="inlineStr">
        <is>
          <t>saletiaveronika@gmail.com</t>
        </is>
      </c>
      <c r="D75" s="57" t="inlineStr">
        <is>
          <t>PCL</t>
        </is>
      </c>
      <c r="E75" s="57" t="inlineStr">
        <is>
          <t>(040) MANGANITU SELATAN</t>
        </is>
      </c>
      <c r="F75" s="58" t="n">
        <v>291</v>
      </c>
      <c r="G75" s="58" t="n">
        <v>25</v>
      </c>
      <c r="H75" s="59">
        <f>F75+G75</f>
        <v/>
      </c>
      <c r="I75" s="60" t="n">
        <v>42</v>
      </c>
      <c r="J75" s="60" t="n">
        <v>9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42</v>
      </c>
      <c r="P75" s="64" t="n">
        <v>43</v>
      </c>
      <c r="Q75" s="65">
        <f>P75-O75</f>
        <v/>
      </c>
      <c r="R75" s="66" t="n">
        <v>9</v>
      </c>
      <c r="S75" s="66" t="n">
        <v>5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271</v>
      </c>
      <c r="Y75" s="69" t="n">
        <v>26</v>
      </c>
      <c r="Z75" s="70">
        <f>X75+Y75</f>
        <v/>
      </c>
      <c r="AA75" s="71" t="n">
        <v>229</v>
      </c>
      <c r="AB75" s="71" t="n">
        <v>17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Virchow Keynes Sahabat</t>
        </is>
      </c>
      <c r="C76" s="57" t="inlineStr">
        <is>
          <t>keynessahabat@gmail.com</t>
        </is>
      </c>
      <c r="D76" s="57" t="inlineStr">
        <is>
          <t>PCL</t>
        </is>
      </c>
      <c r="E76" s="57" t="inlineStr">
        <is>
          <t>(050) TAMAKO</t>
        </is>
      </c>
      <c r="F76" s="58" t="n">
        <v>350</v>
      </c>
      <c r="G76" s="58" t="n">
        <v>36</v>
      </c>
      <c r="H76" s="59">
        <f>F76+G76</f>
        <v/>
      </c>
      <c r="I76" s="60" t="n">
        <v>26</v>
      </c>
      <c r="J76" s="60" t="n">
        <v>11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26</v>
      </c>
      <c r="P76" s="64" t="n">
        <v>31</v>
      </c>
      <c r="Q76" s="65">
        <f>P76-O76</f>
        <v/>
      </c>
      <c r="R76" s="66" t="n">
        <v>11</v>
      </c>
      <c r="S76" s="66" t="n">
        <v>7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284</v>
      </c>
      <c r="Y76" s="69" t="n">
        <v>24</v>
      </c>
      <c r="Z76" s="70">
        <f>X76+Y76</f>
        <v/>
      </c>
      <c r="AA76" s="71" t="n">
        <v>258</v>
      </c>
      <c r="AB76" s="71" t="n">
        <v>13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Ahmad Risandi Karim</t>
        </is>
      </c>
      <c r="C77" s="57" t="inlineStr">
        <is>
          <t>ahmadrisandikarim@gmail.com</t>
        </is>
      </c>
      <c r="D77" s="57" t="inlineStr">
        <is>
          <t>PCL</t>
        </is>
      </c>
      <c r="E77" s="57" t="inlineStr">
        <is>
          <t>(101) NUSA TABUKAN</t>
        </is>
      </c>
      <c r="F77" s="58" t="n">
        <v>308</v>
      </c>
      <c r="G77" s="58" t="n">
        <v>14</v>
      </c>
      <c r="H77" s="59">
        <f>F77+G77</f>
        <v/>
      </c>
      <c r="I77" s="60" t="n">
        <v>24</v>
      </c>
      <c r="J77" s="60" t="n">
        <v>4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24</v>
      </c>
      <c r="P77" s="64" t="n">
        <v>31</v>
      </c>
      <c r="Q77" s="65">
        <f>P77-O77</f>
        <v/>
      </c>
      <c r="R77" s="66" t="n">
        <v>4</v>
      </c>
      <c r="S77" s="66" t="n">
        <v>1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285</v>
      </c>
      <c r="Y77" s="69" t="n">
        <v>11</v>
      </c>
      <c r="Z77" s="70">
        <f>X77+Y77</f>
        <v/>
      </c>
      <c r="AA77" s="71" t="n">
        <v>261</v>
      </c>
      <c r="AB77" s="71" t="n">
        <v>7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Rachmawati Kampi</t>
        </is>
      </c>
      <c r="C78" s="57" t="inlineStr">
        <is>
          <t>tikamustika1704@gmail.com</t>
        </is>
      </c>
      <c r="D78" s="57" t="inlineStr">
        <is>
          <t>PCL</t>
        </is>
      </c>
      <c r="E78" s="57" t="inlineStr">
        <is>
          <t>(091) TAHUNA TIMUR</t>
        </is>
      </c>
      <c r="F78" s="58" t="n">
        <v>395</v>
      </c>
      <c r="G78" s="58" t="n">
        <v>47</v>
      </c>
      <c r="H78" s="59">
        <f>F78+G78</f>
        <v/>
      </c>
      <c r="I78" s="60" t="n">
        <v>81</v>
      </c>
      <c r="J78" s="60" t="n">
        <v>21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81</v>
      </c>
      <c r="P78" s="64" t="n">
        <v>31</v>
      </c>
      <c r="Q78" s="65">
        <f>P78-O78</f>
        <v/>
      </c>
      <c r="R78" s="66" t="n">
        <v>21</v>
      </c>
      <c r="S78" s="66" t="n">
        <v>18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278</v>
      </c>
      <c r="Y78" s="69" t="n">
        <v>46</v>
      </c>
      <c r="Z78" s="70">
        <f>X78+Y78</f>
        <v/>
      </c>
      <c r="AA78" s="71" t="n">
        <v>197</v>
      </c>
      <c r="AB78" s="71" t="n">
        <v>25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Stevanus Francois Mangeghong</t>
        </is>
      </c>
      <c r="C79" s="57" t="inlineStr">
        <is>
          <t>stivfrancois@gmail.com</t>
        </is>
      </c>
      <c r="D79" s="57" t="inlineStr">
        <is>
          <t>PCL</t>
        </is>
      </c>
      <c r="E79" s="57" t="inlineStr">
        <is>
          <t>(050) TAMAKO</t>
        </is>
      </c>
      <c r="F79" s="58" t="n">
        <v>347</v>
      </c>
      <c r="G79" s="58" t="n">
        <v>18</v>
      </c>
      <c r="H79" s="59">
        <f>F79+G79</f>
        <v/>
      </c>
      <c r="I79" s="60" t="n">
        <v>89</v>
      </c>
      <c r="J79" s="60" t="n">
        <v>10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89</v>
      </c>
      <c r="P79" s="64" t="n">
        <v>21</v>
      </c>
      <c r="Q79" s="65">
        <f>P79-O79</f>
        <v/>
      </c>
      <c r="R79" s="66" t="n">
        <v>10</v>
      </c>
      <c r="S79" s="66" t="n">
        <v>7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289</v>
      </c>
      <c r="Y79" s="69" t="n">
        <v>20</v>
      </c>
      <c r="Z79" s="70">
        <f>X79+Y79</f>
        <v/>
      </c>
      <c r="AA79" s="71" t="n">
        <v>200</v>
      </c>
      <c r="AB79" s="71" t="n">
        <v>10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Yosias Budiman Monok</t>
        </is>
      </c>
      <c r="C80" s="57" t="inlineStr">
        <is>
          <t>josias.monok@gmail.com</t>
        </is>
      </c>
      <c r="D80" s="57" t="inlineStr">
        <is>
          <t>PCL</t>
        </is>
      </c>
      <c r="E80" s="57" t="inlineStr">
        <is>
          <t>(080) MANGANITU</t>
        </is>
      </c>
      <c r="F80" s="58" t="n">
        <v>349</v>
      </c>
      <c r="G80" s="58" t="n">
        <v>20</v>
      </c>
      <c r="H80" s="59">
        <f>F80+G80</f>
        <v/>
      </c>
      <c r="I80" s="60" t="n">
        <v>26</v>
      </c>
      <c r="J80" s="60" t="n">
        <v>7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26</v>
      </c>
      <c r="P80" s="64" t="n">
        <v>48</v>
      </c>
      <c r="Q80" s="65">
        <f>P80-O80</f>
        <v/>
      </c>
      <c r="R80" s="66" t="n">
        <v>7</v>
      </c>
      <c r="S80" s="66" t="n">
        <v>4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201</v>
      </c>
      <c r="Y80" s="69" t="n">
        <v>16</v>
      </c>
      <c r="Z80" s="70">
        <f>X80+Y80</f>
        <v/>
      </c>
      <c r="AA80" s="71" t="n">
        <v>175</v>
      </c>
      <c r="AB80" s="71" t="n">
        <v>9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Aldo Jhon Mesak Bangonang</t>
        </is>
      </c>
      <c r="C81" s="57" t="inlineStr">
        <is>
          <t>mesakbangonang99@gmail.com</t>
        </is>
      </c>
      <c r="D81" s="57" t="inlineStr">
        <is>
          <t>PCL</t>
        </is>
      </c>
      <c r="E81" s="57" t="inlineStr">
        <is>
          <t>(091) TAHUNA TIMUR</t>
        </is>
      </c>
      <c r="F81" s="58" t="n">
        <v>312</v>
      </c>
      <c r="G81" s="58" t="n">
        <v>47</v>
      </c>
      <c r="H81" s="59">
        <f>F81+G81</f>
        <v/>
      </c>
      <c r="I81" s="60" t="n">
        <v>12</v>
      </c>
      <c r="J81" s="60" t="n">
        <v>5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12</v>
      </c>
      <c r="P81" s="64" t="n">
        <v>16</v>
      </c>
      <c r="Q81" s="65">
        <f>P81-O81</f>
        <v/>
      </c>
      <c r="R81" s="66" t="n">
        <v>5</v>
      </c>
      <c r="S81" s="66" t="n">
        <v>3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144</v>
      </c>
      <c r="Y81" s="69" t="n">
        <v>12</v>
      </c>
      <c r="Z81" s="70">
        <f>X81+Y81</f>
        <v/>
      </c>
      <c r="AA81" s="71" t="n">
        <v>132</v>
      </c>
      <c r="AB81" s="71" t="n">
        <v>7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Asiantina Maniku</t>
        </is>
      </c>
      <c r="C82" s="57" t="inlineStr">
        <is>
          <t>iyanmaniku1@gmail.com</t>
        </is>
      </c>
      <c r="D82" s="57" t="inlineStr">
        <is>
          <t>PCL</t>
        </is>
      </c>
      <c r="E82" s="57" t="inlineStr">
        <is>
          <t>(100) TABUKAN UTARA</t>
        </is>
      </c>
      <c r="F82" s="58" t="n">
        <v>316</v>
      </c>
      <c r="G82" s="58" t="n">
        <v>35</v>
      </c>
      <c r="H82" s="59">
        <f>F82+G82</f>
        <v/>
      </c>
      <c r="I82" s="60" t="n">
        <v>75</v>
      </c>
      <c r="J82" s="60" t="n">
        <v>3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75</v>
      </c>
      <c r="P82" s="64" t="n">
        <v>40</v>
      </c>
      <c r="Q82" s="65">
        <f>P82-O82</f>
        <v/>
      </c>
      <c r="R82" s="66" t="n">
        <v>3</v>
      </c>
      <c r="S82" s="66" t="n">
        <v>1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262</v>
      </c>
      <c r="Y82" s="69" t="n">
        <v>5</v>
      </c>
      <c r="Z82" s="70">
        <f>X82+Y82</f>
        <v/>
      </c>
      <c r="AA82" s="71" t="n">
        <v>187</v>
      </c>
      <c r="AB82" s="71" t="n">
        <v>2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Deisye Reine Budiman</t>
        </is>
      </c>
      <c r="C83" s="57" t="inlineStr">
        <is>
          <t>deisyebudiman549@gmail.com</t>
        </is>
      </c>
      <c r="D83" s="57" t="inlineStr">
        <is>
          <t>PCL</t>
        </is>
      </c>
      <c r="E83" s="57" t="inlineStr">
        <is>
          <t>(080) MANGANITU</t>
        </is>
      </c>
      <c r="F83" s="58" t="n">
        <v>330</v>
      </c>
      <c r="G83" s="58" t="n">
        <v>25</v>
      </c>
      <c r="H83" s="59">
        <f>F83+G83</f>
        <v/>
      </c>
      <c r="I83" s="60" t="n">
        <v>40</v>
      </c>
      <c r="J83" s="60" t="n">
        <v>10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40</v>
      </c>
      <c r="P83" s="64" t="n">
        <v>39</v>
      </c>
      <c r="Q83" s="65">
        <f>P83-O83</f>
        <v/>
      </c>
      <c r="R83" s="66" t="n">
        <v>10</v>
      </c>
      <c r="S83" s="66" t="n">
        <v>8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226</v>
      </c>
      <c r="Y83" s="69" t="n">
        <v>20</v>
      </c>
      <c r="Z83" s="70">
        <f>X83+Y83</f>
        <v/>
      </c>
      <c r="AA83" s="71" t="n">
        <v>186</v>
      </c>
      <c r="AB83" s="71" t="n">
        <v>10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Dince Lahaube</t>
        </is>
      </c>
      <c r="C84" s="57" t="inlineStr">
        <is>
          <t>dincelahaube09@gmail.com</t>
        </is>
      </c>
      <c r="D84" s="57" t="inlineStr">
        <is>
          <t>PCL</t>
        </is>
      </c>
      <c r="E84" s="57" t="inlineStr">
        <is>
          <t>(041) TATOARENG</t>
        </is>
      </c>
      <c r="F84" s="58" t="n">
        <v>294</v>
      </c>
      <c r="G84" s="58" t="n">
        <v>15</v>
      </c>
      <c r="H84" s="59">
        <f>F84+G84</f>
        <v/>
      </c>
      <c r="I84" s="60" t="n">
        <v>45</v>
      </c>
      <c r="J84" s="60" t="n">
        <v>2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45</v>
      </c>
      <c r="P84" s="64" t="n">
        <v>9</v>
      </c>
      <c r="Q84" s="65">
        <f>P84-O84</f>
        <v/>
      </c>
      <c r="R84" s="66" t="n">
        <v>2</v>
      </c>
      <c r="S84" s="66" t="n">
        <v>0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164</v>
      </c>
      <c r="Y84" s="69" t="n">
        <v>7</v>
      </c>
      <c r="Z84" s="70">
        <f>X84+Y84</f>
        <v/>
      </c>
      <c r="AA84" s="71" t="n">
        <v>119</v>
      </c>
      <c r="AB84" s="71" t="n">
        <v>5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Elan Chrisye Ansar</t>
        </is>
      </c>
      <c r="C85" s="57" t="inlineStr">
        <is>
          <t>ellan87ansar@gmail.com</t>
        </is>
      </c>
      <c r="D85" s="57" t="inlineStr">
        <is>
          <t>PCL</t>
        </is>
      </c>
      <c r="E85" s="57" t="inlineStr">
        <is>
          <t>(061) TABUKAN SELATAN TENGAH &amp; (062) TABUKAN SELATAN TENGGARA</t>
        </is>
      </c>
      <c r="F85" s="58" t="n">
        <v>251</v>
      </c>
      <c r="G85" s="58" t="n">
        <v>43</v>
      </c>
      <c r="H85" s="59">
        <f>F85+G85</f>
        <v/>
      </c>
      <c r="I85" s="60" t="n">
        <v>36</v>
      </c>
      <c r="J85" s="60" t="n">
        <v>12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36</v>
      </c>
      <c r="P85" s="64" t="n">
        <v>32</v>
      </c>
      <c r="Q85" s="65">
        <f>P85-O85</f>
        <v/>
      </c>
      <c r="R85" s="66" t="n">
        <v>12</v>
      </c>
      <c r="S85" s="66" t="n">
        <v>10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166</v>
      </c>
      <c r="Y85" s="69" t="n">
        <v>23</v>
      </c>
      <c r="Z85" s="70">
        <f>X85+Y85</f>
        <v/>
      </c>
      <c r="AA85" s="71" t="n">
        <v>130</v>
      </c>
      <c r="AB85" s="71" t="n">
        <v>11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Erin Fernanda Wenas</t>
        </is>
      </c>
      <c r="C86" s="57" t="inlineStr">
        <is>
          <t>wenaserin@gmail.com</t>
        </is>
      </c>
      <c r="D86" s="57" t="inlineStr">
        <is>
          <t>PCL</t>
        </is>
      </c>
      <c r="E86" s="57" t="inlineStr">
        <is>
          <t>(090) TAHUNA</t>
        </is>
      </c>
      <c r="F86" s="58" t="n">
        <v>324</v>
      </c>
      <c r="G86" s="58" t="n">
        <v>58</v>
      </c>
      <c r="H86" s="59">
        <f>F86+G86</f>
        <v/>
      </c>
      <c r="I86" s="60" t="n">
        <v>63</v>
      </c>
      <c r="J86" s="60" t="n">
        <v>21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63</v>
      </c>
      <c r="P86" s="64" t="n">
        <v>50</v>
      </c>
      <c r="Q86" s="65">
        <f>P86-O86</f>
        <v/>
      </c>
      <c r="R86" s="66" t="n">
        <v>21</v>
      </c>
      <c r="S86" s="66" t="n">
        <v>19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222</v>
      </c>
      <c r="Y86" s="69" t="n">
        <v>50</v>
      </c>
      <c r="Z86" s="70">
        <f>X86+Y86</f>
        <v/>
      </c>
      <c r="AA86" s="71" t="n">
        <v>159</v>
      </c>
      <c r="AB86" s="71" t="n">
        <v>29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Feybe Ayuninsi Patandra</t>
        </is>
      </c>
      <c r="C87" s="57" t="inlineStr">
        <is>
          <t>patandrafeybeayuninsi@gmail.com</t>
        </is>
      </c>
      <c r="D87" s="57" t="inlineStr">
        <is>
          <t>PCL</t>
        </is>
      </c>
      <c r="E87" s="57" t="inlineStr">
        <is>
          <t>(041) TATOARENG</t>
        </is>
      </c>
      <c r="F87" s="58" t="n">
        <v>347</v>
      </c>
      <c r="G87" s="58" t="n">
        <v>18</v>
      </c>
      <c r="H87" s="59">
        <f>F87+G87</f>
        <v/>
      </c>
      <c r="I87" s="60" t="n">
        <v>85</v>
      </c>
      <c r="J87" s="60" t="n">
        <v>2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85</v>
      </c>
      <c r="P87" s="64" t="n">
        <v>29</v>
      </c>
      <c r="Q87" s="65">
        <f>P87-O87</f>
        <v/>
      </c>
      <c r="R87" s="66" t="n">
        <v>2</v>
      </c>
      <c r="S87" s="66" t="n">
        <v>0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325</v>
      </c>
      <c r="Y87" s="69" t="n">
        <v>11</v>
      </c>
      <c r="Z87" s="70">
        <f>X87+Y87</f>
        <v/>
      </c>
      <c r="AA87" s="71" t="n">
        <v>240</v>
      </c>
      <c r="AB87" s="71" t="n">
        <v>9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Juldrike Tuwohingide</t>
        </is>
      </c>
      <c r="C88" s="57" t="inlineStr">
        <is>
          <t>juldriketuwohingide@gmail.com</t>
        </is>
      </c>
      <c r="D88" s="57" t="inlineStr">
        <is>
          <t>PCL</t>
        </is>
      </c>
      <c r="E88" s="57" t="inlineStr">
        <is>
          <t>(050) TAMAKO</t>
        </is>
      </c>
      <c r="F88" s="58" t="n">
        <v>328</v>
      </c>
      <c r="G88" s="58" t="n">
        <v>30</v>
      </c>
      <c r="H88" s="59">
        <f>F88+G88</f>
        <v/>
      </c>
      <c r="I88" s="60" t="n">
        <v>34</v>
      </c>
      <c r="J88" s="60" t="n">
        <v>14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34</v>
      </c>
      <c r="P88" s="64" t="n">
        <v>52</v>
      </c>
      <c r="Q88" s="65">
        <f>P88-O88</f>
        <v/>
      </c>
      <c r="R88" s="66" t="n">
        <v>14</v>
      </c>
      <c r="S88" s="66" t="n">
        <v>12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267</v>
      </c>
      <c r="Y88" s="69" t="n">
        <v>30</v>
      </c>
      <c r="Z88" s="70">
        <f>X88+Y88</f>
        <v/>
      </c>
      <c r="AA88" s="71" t="n">
        <v>233</v>
      </c>
      <c r="AB88" s="71" t="n">
        <v>16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Linda Yunice Amal</t>
        </is>
      </c>
      <c r="C89" s="57" t="inlineStr">
        <is>
          <t>lindaamal24@gmail.com</t>
        </is>
      </c>
      <c r="D89" s="57" t="inlineStr">
        <is>
          <t>PCL</t>
        </is>
      </c>
      <c r="E89" s="57" t="inlineStr">
        <is>
          <t>(070) TABUKAN TENGAH</t>
        </is>
      </c>
      <c r="F89" s="58" t="n">
        <v>288</v>
      </c>
      <c r="G89" s="58" t="n">
        <v>22</v>
      </c>
      <c r="H89" s="59">
        <f>F89+G89</f>
        <v/>
      </c>
      <c r="I89" s="60" t="n">
        <v>83</v>
      </c>
      <c r="J89" s="60" t="n">
        <v>10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83</v>
      </c>
      <c r="P89" s="64" t="n">
        <v>28</v>
      </c>
      <c r="Q89" s="65">
        <f>P89-O89</f>
        <v/>
      </c>
      <c r="R89" s="66" t="n">
        <v>10</v>
      </c>
      <c r="S89" s="66" t="n">
        <v>8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205</v>
      </c>
      <c r="Y89" s="69" t="n">
        <v>23</v>
      </c>
      <c r="Z89" s="70">
        <f>X89+Y89</f>
        <v/>
      </c>
      <c r="AA89" s="71" t="n">
        <v>122</v>
      </c>
      <c r="AB89" s="71" t="n">
        <v>13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Meyilandriane Herung</t>
        </is>
      </c>
      <c r="C90" s="57" t="inlineStr">
        <is>
          <t>meylandriane1@gmail.com</t>
        </is>
      </c>
      <c r="D90" s="57" t="inlineStr">
        <is>
          <t>PCL</t>
        </is>
      </c>
      <c r="E90" s="57" t="inlineStr">
        <is>
          <t>(061) TABUKAN SELATAN TENGAH</t>
        </is>
      </c>
      <c r="F90" s="58" t="n">
        <v>284</v>
      </c>
      <c r="G90" s="58" t="n">
        <v>17</v>
      </c>
      <c r="H90" s="59">
        <f>F90+G90</f>
        <v/>
      </c>
      <c r="I90" s="60" t="n">
        <v>25</v>
      </c>
      <c r="J90" s="60" t="n">
        <v>2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25</v>
      </c>
      <c r="P90" s="64" t="n">
        <v>22</v>
      </c>
      <c r="Q90" s="65">
        <f>P90-O90</f>
        <v/>
      </c>
      <c r="R90" s="66" t="n">
        <v>2</v>
      </c>
      <c r="S90" s="66" t="n">
        <v>0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232</v>
      </c>
      <c r="Y90" s="69" t="n">
        <v>7</v>
      </c>
      <c r="Z90" s="70">
        <f>X90+Y90</f>
        <v/>
      </c>
      <c r="AA90" s="71" t="n">
        <v>207</v>
      </c>
      <c r="AB90" s="71" t="n">
        <v>5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Suryaningsi Dorthea Lalompoh</t>
        </is>
      </c>
      <c r="C91" s="57" t="inlineStr">
        <is>
          <t>indrydorthea@gmail.com</t>
        </is>
      </c>
      <c r="D91" s="57" t="inlineStr">
        <is>
          <t>PCL</t>
        </is>
      </c>
      <c r="E91" s="57" t="inlineStr">
        <is>
          <t>(070) TABUKAN TENGAH</t>
        </is>
      </c>
      <c r="F91" s="58" t="n">
        <v>296</v>
      </c>
      <c r="G91" s="58" t="n">
        <v>29</v>
      </c>
      <c r="H91" s="59">
        <f>F91+G91</f>
        <v/>
      </c>
      <c r="I91" s="60" t="n">
        <v>24</v>
      </c>
      <c r="J91" s="60" t="n">
        <v>10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24</v>
      </c>
      <c r="P91" s="64" t="n">
        <v>85</v>
      </c>
      <c r="Q91" s="65">
        <f>P91-O91</f>
        <v/>
      </c>
      <c r="R91" s="66" t="n">
        <v>10</v>
      </c>
      <c r="S91" s="66" t="n">
        <v>8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164</v>
      </c>
      <c r="Y91" s="69" t="n">
        <v>24</v>
      </c>
      <c r="Z91" s="70">
        <f>X91+Y91</f>
        <v/>
      </c>
      <c r="AA91" s="71" t="n">
        <v>140</v>
      </c>
      <c r="AB91" s="71" t="n">
        <v>14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Svidania Kundiman</t>
        </is>
      </c>
      <c r="C92" s="57" t="inlineStr">
        <is>
          <t>spidaniakundimang@gmail.com</t>
        </is>
      </c>
      <c r="D92" s="57" t="inlineStr">
        <is>
          <t>PCL</t>
        </is>
      </c>
      <c r="E92" s="57" t="inlineStr">
        <is>
          <t>(070) TABUKAN TENGAH</t>
        </is>
      </c>
      <c r="F92" s="58" t="n">
        <v>309</v>
      </c>
      <c r="G92" s="58" t="n">
        <v>25</v>
      </c>
      <c r="H92" s="59">
        <f>F92+G92</f>
        <v/>
      </c>
      <c r="I92" s="60" t="n">
        <v>38</v>
      </c>
      <c r="J92" s="60" t="n">
        <v>8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38</v>
      </c>
      <c r="P92" s="64" t="n">
        <v>40</v>
      </c>
      <c r="Q92" s="65">
        <f>P92-O92</f>
        <v/>
      </c>
      <c r="R92" s="66" t="n">
        <v>8</v>
      </c>
      <c r="S92" s="66" t="n">
        <v>6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164</v>
      </c>
      <c r="Y92" s="69" t="n">
        <v>21</v>
      </c>
      <c r="Z92" s="70">
        <f>X92+Y92</f>
        <v/>
      </c>
      <c r="AA92" s="71" t="n">
        <v>126</v>
      </c>
      <c r="AB92" s="71" t="n">
        <v>13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Vania Gavrila Lakada</t>
        </is>
      </c>
      <c r="C93" s="57" t="inlineStr">
        <is>
          <t>nialakada18@gmail.com</t>
        </is>
      </c>
      <c r="D93" s="57" t="inlineStr">
        <is>
          <t>PCL</t>
        </is>
      </c>
      <c r="E93" s="57" t="inlineStr">
        <is>
          <t>(080) MANGANITU</t>
        </is>
      </c>
      <c r="F93" s="58" t="n">
        <v>273</v>
      </c>
      <c r="G93" s="58" t="n">
        <v>93</v>
      </c>
      <c r="H93" s="59">
        <f>F93+G93</f>
        <v/>
      </c>
      <c r="I93" s="60" t="n">
        <v>10</v>
      </c>
      <c r="J93" s="60" t="n">
        <v>15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10</v>
      </c>
      <c r="P93" s="64" t="n">
        <v>53</v>
      </c>
      <c r="Q93" s="65">
        <f>P93-O93</f>
        <v/>
      </c>
      <c r="R93" s="66" t="n">
        <v>15</v>
      </c>
      <c r="S93" s="66" t="n">
        <v>13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175</v>
      </c>
      <c r="Y93" s="69" t="n">
        <v>52</v>
      </c>
      <c r="Z93" s="70">
        <f>X93+Y93</f>
        <v/>
      </c>
      <c r="AA93" s="71" t="n">
        <v>165</v>
      </c>
      <c r="AB93" s="71" t="n">
        <v>37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/>
      <c r="C94" s="57" t="inlineStr">
        <is>
          <t>chikaaalombontari@gmail.com</t>
        </is>
      </c>
      <c r="D94" s="57" t="inlineStr">
        <is>
          <t>PCL</t>
        </is>
      </c>
      <c r="E94" s="57" t="inlineStr">
        <is>
          <t>(091) TAHUNA TIMUR</t>
        </is>
      </c>
      <c r="F94" s="58" t="n">
        <v>59</v>
      </c>
      <c r="G94" s="58" t="n">
        <v>2</v>
      </c>
      <c r="H94" s="59">
        <f>F94+G94</f>
        <v/>
      </c>
      <c r="I94" s="60" t="n">
        <v>12</v>
      </c>
      <c r="J94" s="60" t="n">
        <v>2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12</v>
      </c>
      <c r="P94" s="64" t="n">
        <v>3</v>
      </c>
      <c r="Q94" s="65">
        <f>P94-O94</f>
        <v/>
      </c>
      <c r="R94" s="66" t="n">
        <v>2</v>
      </c>
      <c r="S94" s="66" t="n">
        <v>1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59</v>
      </c>
      <c r="Y94" s="69" t="n">
        <v>3</v>
      </c>
      <c r="Z94" s="70">
        <f>X94+Y94</f>
        <v/>
      </c>
      <c r="AA94" s="71" t="n">
        <v>47</v>
      </c>
      <c r="AB94" s="71" t="n">
        <v>1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Amels Wisye Margareth Sasauw</t>
        </is>
      </c>
      <c r="C95" s="57" t="inlineStr">
        <is>
          <t>amelssasauw138@gmail.com</t>
        </is>
      </c>
      <c r="D95" s="57" t="inlineStr">
        <is>
          <t>PCL</t>
        </is>
      </c>
      <c r="E95" s="57" t="inlineStr">
        <is>
          <t>(080) MANGANITU</t>
        </is>
      </c>
      <c r="F95" s="58" t="n">
        <v>338</v>
      </c>
      <c r="G95" s="58" t="n">
        <v>22</v>
      </c>
      <c r="H95" s="59">
        <f>F95+G95</f>
        <v/>
      </c>
      <c r="I95" s="60" t="n">
        <v>14</v>
      </c>
      <c r="J95" s="60" t="n">
        <v>3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14</v>
      </c>
      <c r="P95" s="64" t="n">
        <v>20</v>
      </c>
      <c r="Q95" s="65">
        <f>P95-O95</f>
        <v/>
      </c>
      <c r="R95" s="66" t="n">
        <v>3</v>
      </c>
      <c r="S95" s="66" t="n">
        <v>2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226</v>
      </c>
      <c r="Y95" s="69" t="n">
        <v>8</v>
      </c>
      <c r="Z95" s="70">
        <f>X95+Y95</f>
        <v/>
      </c>
      <c r="AA95" s="71" t="n">
        <v>212</v>
      </c>
      <c r="AB95" s="71" t="n">
        <v>5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Fiona F. Adrian</t>
        </is>
      </c>
      <c r="C96" s="57" t="inlineStr">
        <is>
          <t>fionafinki@gmail.com</t>
        </is>
      </c>
      <c r="D96" s="57" t="inlineStr">
        <is>
          <t>PCL</t>
        </is>
      </c>
      <c r="E96" s="57" t="inlineStr">
        <is>
          <t>(060) TABUKAN SELATAN</t>
        </is>
      </c>
      <c r="F96" s="58" t="n">
        <v>313</v>
      </c>
      <c r="G96" s="58" t="n">
        <v>23</v>
      </c>
      <c r="H96" s="59">
        <f>F96+G96</f>
        <v/>
      </c>
      <c r="I96" s="60" t="n">
        <v>51</v>
      </c>
      <c r="J96" s="60" t="n">
        <v>6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51</v>
      </c>
      <c r="P96" s="64" t="n">
        <v>37</v>
      </c>
      <c r="Q96" s="65">
        <f>P96-O96</f>
        <v/>
      </c>
      <c r="R96" s="66" t="n">
        <v>6</v>
      </c>
      <c r="S96" s="66" t="n">
        <v>5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285</v>
      </c>
      <c r="Y96" s="69" t="n">
        <v>17</v>
      </c>
      <c r="Z96" s="70">
        <f>X96+Y96</f>
        <v/>
      </c>
      <c r="AA96" s="71" t="n">
        <v>234</v>
      </c>
      <c r="AB96" s="71" t="n">
        <v>11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Jeklin Andris</t>
        </is>
      </c>
      <c r="C97" s="57" t="inlineStr">
        <is>
          <t>jeklinandris98@gmail.com</t>
        </is>
      </c>
      <c r="D97" s="57" t="inlineStr">
        <is>
          <t>PCL</t>
        </is>
      </c>
      <c r="E97" s="57" t="inlineStr">
        <is>
          <t>(040) MANGANITU SELATAN</t>
        </is>
      </c>
      <c r="F97" s="58" t="n">
        <v>325</v>
      </c>
      <c r="G97" s="58" t="n">
        <v>53</v>
      </c>
      <c r="H97" s="59">
        <f>F97+G97</f>
        <v/>
      </c>
      <c r="I97" s="60" t="n">
        <v>21</v>
      </c>
      <c r="J97" s="60" t="n">
        <v>23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21</v>
      </c>
      <c r="P97" s="64" t="n">
        <v>29</v>
      </c>
      <c r="Q97" s="65">
        <f>P97-O97</f>
        <v/>
      </c>
      <c r="R97" s="66" t="n">
        <v>23</v>
      </c>
      <c r="S97" s="66" t="n">
        <v>22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236</v>
      </c>
      <c r="Y97" s="69" t="n">
        <v>62</v>
      </c>
      <c r="Z97" s="70">
        <f>X97+Y97</f>
        <v/>
      </c>
      <c r="AA97" s="71" t="n">
        <v>215</v>
      </c>
      <c r="AB97" s="71" t="n">
        <v>39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Muvidah Kaehe</t>
        </is>
      </c>
      <c r="C98" s="57" t="inlineStr">
        <is>
          <t>kaehemuvidah@gmail.com</t>
        </is>
      </c>
      <c r="D98" s="57" t="inlineStr">
        <is>
          <t>PCL</t>
        </is>
      </c>
      <c r="E98" s="57" t="inlineStr">
        <is>
          <t>(100) TABUKAN UTARA</t>
        </is>
      </c>
      <c r="F98" s="58" t="n">
        <v>266</v>
      </c>
      <c r="G98" s="58" t="n">
        <v>31</v>
      </c>
      <c r="H98" s="59">
        <f>F98+G98</f>
        <v/>
      </c>
      <c r="I98" s="60" t="n">
        <v>19</v>
      </c>
      <c r="J98" s="60" t="n">
        <v>16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19</v>
      </c>
      <c r="P98" s="64" t="n">
        <v>95</v>
      </c>
      <c r="Q98" s="65">
        <f>P98-O98</f>
        <v/>
      </c>
      <c r="R98" s="66" t="n">
        <v>16</v>
      </c>
      <c r="S98" s="66" t="n">
        <v>15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191</v>
      </c>
      <c r="Y98" s="69" t="n">
        <v>40</v>
      </c>
      <c r="Z98" s="70">
        <f>X98+Y98</f>
        <v/>
      </c>
      <c r="AA98" s="71" t="n">
        <v>172</v>
      </c>
      <c r="AB98" s="71" t="n">
        <v>24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Nevivania Liopenne Kakauhe</t>
        </is>
      </c>
      <c r="C99" s="57" t="inlineStr">
        <is>
          <t>nialiokakauhe16@gmail.com</t>
        </is>
      </c>
      <c r="D99" s="57" t="inlineStr">
        <is>
          <t>PCL</t>
        </is>
      </c>
      <c r="E99" s="57" t="inlineStr">
        <is>
          <t>(080) MANGANITU</t>
        </is>
      </c>
      <c r="F99" s="58" t="n">
        <v>330</v>
      </c>
      <c r="G99" s="58" t="n">
        <v>22</v>
      </c>
      <c r="H99" s="59">
        <f>F99+G99</f>
        <v/>
      </c>
      <c r="I99" s="60" t="n">
        <v>21</v>
      </c>
      <c r="J99" s="60" t="n">
        <v>4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21</v>
      </c>
      <c r="P99" s="64" t="n">
        <v>41</v>
      </c>
      <c r="Q99" s="65">
        <f>P99-O99</f>
        <v/>
      </c>
      <c r="R99" s="66" t="n">
        <v>4</v>
      </c>
      <c r="S99" s="66" t="n">
        <v>3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194</v>
      </c>
      <c r="Y99" s="69" t="n">
        <v>14</v>
      </c>
      <c r="Z99" s="70">
        <f>X99+Y99</f>
        <v/>
      </c>
      <c r="AA99" s="71" t="n">
        <v>173</v>
      </c>
      <c r="AB99" s="71" t="n">
        <v>10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Vera Angelita Tangkabiringan</t>
        </is>
      </c>
      <c r="C100" s="57" t="inlineStr">
        <is>
          <t>eiya.angelita@gmail.com</t>
        </is>
      </c>
      <c r="D100" s="57" t="inlineStr">
        <is>
          <t>PCL</t>
        </is>
      </c>
      <c r="E100" s="57" t="inlineStr">
        <is>
          <t>(090) TAHUNA</t>
        </is>
      </c>
      <c r="F100" s="58" t="n">
        <v>397</v>
      </c>
      <c r="G100" s="58" t="n">
        <v>16</v>
      </c>
      <c r="H100" s="59">
        <f>F100+G100</f>
        <v/>
      </c>
      <c r="I100" s="60" t="n">
        <v>42</v>
      </c>
      <c r="J100" s="60" t="n">
        <v>5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42</v>
      </c>
      <c r="P100" s="64" t="n">
        <v>104</v>
      </c>
      <c r="Q100" s="65">
        <f>P100-O100</f>
        <v/>
      </c>
      <c r="R100" s="66" t="n">
        <v>5</v>
      </c>
      <c r="S100" s="66" t="n">
        <v>4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273</v>
      </c>
      <c r="Y100" s="69" t="n">
        <v>10</v>
      </c>
      <c r="Z100" s="70">
        <f>X100+Y100</f>
        <v/>
      </c>
      <c r="AA100" s="71" t="n">
        <v>231</v>
      </c>
      <c r="AB100" s="71" t="n">
        <v>5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Yesika Angelin Guwaunaung</t>
        </is>
      </c>
      <c r="C101" s="57" t="inlineStr">
        <is>
          <t>angelinguwaunaung@gmail.com</t>
        </is>
      </c>
      <c r="D101" s="57" t="inlineStr">
        <is>
          <t>PCL</t>
        </is>
      </c>
      <c r="E101" s="57" t="inlineStr">
        <is>
          <t>(080) MANGANITU</t>
        </is>
      </c>
      <c r="F101" s="58" t="n">
        <v>304</v>
      </c>
      <c r="G101" s="58" t="n">
        <v>28</v>
      </c>
      <c r="H101" s="59">
        <f>F101+G101</f>
        <v/>
      </c>
      <c r="I101" s="60" t="n">
        <v>29</v>
      </c>
      <c r="J101" s="60" t="n">
        <v>5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29</v>
      </c>
      <c r="P101" s="64" t="n">
        <v>63</v>
      </c>
      <c r="Q101" s="65">
        <f>P101-O101</f>
        <v/>
      </c>
      <c r="R101" s="66" t="n">
        <v>5</v>
      </c>
      <c r="S101" s="66" t="n">
        <v>4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176</v>
      </c>
      <c r="Y101" s="69" t="n">
        <v>17</v>
      </c>
      <c r="Z101" s="70">
        <f>X101+Y101</f>
        <v/>
      </c>
      <c r="AA101" s="71" t="n">
        <v>147</v>
      </c>
      <c r="AB101" s="71" t="n">
        <v>12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/>
      <c r="C102" s="57" t="inlineStr">
        <is>
          <t>unassigned</t>
        </is>
      </c>
      <c r="D102" s="57" t="inlineStr">
        <is>
          <t>PCL</t>
        </is>
      </c>
      <c r="E102" s="57" t="inlineStr"/>
      <c r="F102" s="58" t="n">
        <v>0</v>
      </c>
      <c r="G102" s="58" t="n">
        <v>12</v>
      </c>
      <c r="H102" s="59">
        <f>F102+G102</f>
        <v/>
      </c>
      <c r="I102" s="60" t="n">
        <v>0</v>
      </c>
      <c r="J102" s="60" t="n">
        <v>0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0</v>
      </c>
      <c r="P102" s="64" t="n">
        <v>0</v>
      </c>
      <c r="Q102" s="65">
        <f>P102-O102</f>
        <v/>
      </c>
      <c r="R102" s="66" t="n">
        <v>0</v>
      </c>
      <c r="S102" s="66" t="n">
        <v>0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0</v>
      </c>
      <c r="Y102" s="69" t="n">
        <v>0</v>
      </c>
      <c r="Z102" s="70">
        <f>X102+Y102</f>
        <v/>
      </c>
      <c r="AA102" s="71" t="n">
        <v>0</v>
      </c>
      <c r="AB102" s="71" t="n">
        <v>0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Christianto Harilama</t>
        </is>
      </c>
      <c r="C103" s="57" t="inlineStr">
        <is>
          <t>harilamachris23@gmail.com</t>
        </is>
      </c>
      <c r="D103" s="57" t="inlineStr">
        <is>
          <t>PCL</t>
        </is>
      </c>
      <c r="E103" s="57" t="inlineStr">
        <is>
          <t>(091) TAHUNA TIMUR</t>
        </is>
      </c>
      <c r="F103" s="58" t="n">
        <v>386</v>
      </c>
      <c r="G103" s="58" t="n">
        <v>27</v>
      </c>
      <c r="H103" s="59">
        <f>F103+G103</f>
        <v/>
      </c>
      <c r="I103" s="60" t="n">
        <v>47</v>
      </c>
      <c r="J103" s="60" t="n">
        <v>9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47</v>
      </c>
      <c r="P103" s="64" t="n">
        <v>13</v>
      </c>
      <c r="Q103" s="65">
        <f>P103-O103</f>
        <v/>
      </c>
      <c r="R103" s="66" t="n">
        <v>9</v>
      </c>
      <c r="S103" s="66" t="n">
        <v>9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242</v>
      </c>
      <c r="Y103" s="69" t="n">
        <v>24</v>
      </c>
      <c r="Z103" s="70">
        <f>X103+Y103</f>
        <v/>
      </c>
      <c r="AA103" s="71" t="n">
        <v>195</v>
      </c>
      <c r="AB103" s="71" t="n">
        <v>15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Jeisy Dolongseda</t>
        </is>
      </c>
      <c r="C104" s="57" t="inlineStr">
        <is>
          <t>dolongsedajeisyprechilya@gmail.com</t>
        </is>
      </c>
      <c r="D104" s="57" t="inlineStr">
        <is>
          <t>PCL</t>
        </is>
      </c>
      <c r="E104" s="57" t="inlineStr">
        <is>
          <t>(070) TABUKAN TENGAH</t>
        </is>
      </c>
      <c r="F104" s="58" t="n">
        <v>292</v>
      </c>
      <c r="G104" s="58" t="n">
        <v>14</v>
      </c>
      <c r="H104" s="59">
        <f>F104+G104</f>
        <v/>
      </c>
      <c r="I104" s="60" t="n">
        <v>31</v>
      </c>
      <c r="J104" s="60" t="n">
        <v>1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31</v>
      </c>
      <c r="P104" s="64" t="n">
        <v>31</v>
      </c>
      <c r="Q104" s="65">
        <f>P104-O104</f>
        <v/>
      </c>
      <c r="R104" s="66" t="n">
        <v>1</v>
      </c>
      <c r="S104" s="66" t="n">
        <v>1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174</v>
      </c>
      <c r="Y104" s="69" t="n">
        <v>6</v>
      </c>
      <c r="Z104" s="70">
        <f>X104+Y104</f>
        <v/>
      </c>
      <c r="AA104" s="71" t="n">
        <v>143</v>
      </c>
      <c r="AB104" s="71" t="n">
        <v>5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Marwesley Iverson Matheos</t>
        </is>
      </c>
      <c r="C105" s="57" t="inlineStr">
        <is>
          <t>matheosmarwesley@gmail.com</t>
        </is>
      </c>
      <c r="D105" s="57" t="inlineStr">
        <is>
          <t>PCL</t>
        </is>
      </c>
      <c r="E105" s="57" t="inlineStr">
        <is>
          <t>(070) TABUKAN TENGAH</t>
        </is>
      </c>
      <c r="F105" s="58" t="n">
        <v>323</v>
      </c>
      <c r="G105" s="58" t="n">
        <v>18</v>
      </c>
      <c r="H105" s="59">
        <f>F105+G105</f>
        <v/>
      </c>
      <c r="I105" s="60" t="n">
        <v>21</v>
      </c>
      <c r="J105" s="60" t="n">
        <v>1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21</v>
      </c>
      <c r="P105" s="64" t="n">
        <v>31</v>
      </c>
      <c r="Q105" s="65">
        <f>P105-O105</f>
        <v/>
      </c>
      <c r="R105" s="66" t="n">
        <v>1</v>
      </c>
      <c r="S105" s="66" t="n">
        <v>1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167</v>
      </c>
      <c r="Y105" s="69" t="n">
        <v>3</v>
      </c>
      <c r="Z105" s="70">
        <f>X105+Y105</f>
        <v/>
      </c>
      <c r="AA105" s="71" t="n">
        <v>146</v>
      </c>
      <c r="AB105" s="71" t="n">
        <v>2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Novatania Makagansa</t>
        </is>
      </c>
      <c r="C106" s="57" t="inlineStr">
        <is>
          <t>makagansanova@gmail.com</t>
        </is>
      </c>
      <c r="D106" s="57" t="inlineStr">
        <is>
          <t>PCL</t>
        </is>
      </c>
      <c r="E106" s="57" t="inlineStr">
        <is>
          <t>(100) TABUKAN UTARA</t>
        </is>
      </c>
      <c r="F106" s="58" t="n">
        <v>327</v>
      </c>
      <c r="G106" s="58" t="n">
        <v>39</v>
      </c>
      <c r="H106" s="59">
        <f>F106+G106</f>
        <v/>
      </c>
      <c r="I106" s="60" t="n">
        <v>45</v>
      </c>
      <c r="J106" s="60" t="n">
        <v>17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45</v>
      </c>
      <c r="P106" s="64" t="n">
        <v>73</v>
      </c>
      <c r="Q106" s="65">
        <f>P106-O106</f>
        <v/>
      </c>
      <c r="R106" s="66" t="n">
        <v>17</v>
      </c>
      <c r="S106" s="66" t="n">
        <v>17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252</v>
      </c>
      <c r="Y106" s="69" t="n">
        <v>44</v>
      </c>
      <c r="Z106" s="70">
        <f>X106+Y106</f>
        <v/>
      </c>
      <c r="AA106" s="71" t="n">
        <v>207</v>
      </c>
      <c r="AB106" s="71" t="n">
        <v>27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Ruslan Ginoga</t>
        </is>
      </c>
      <c r="C107" s="57" t="inlineStr">
        <is>
          <t>ruslanginoga82@gmail.com</t>
        </is>
      </c>
      <c r="D107" s="57" t="inlineStr">
        <is>
          <t>PCL</t>
        </is>
      </c>
      <c r="E107" s="57" t="inlineStr">
        <is>
          <t>(101) NUSA TABUKAN</t>
        </is>
      </c>
      <c r="F107" s="58" t="n">
        <v>315</v>
      </c>
      <c r="G107" s="58" t="n">
        <v>4</v>
      </c>
      <c r="H107" s="59">
        <f>F107+G107</f>
        <v/>
      </c>
      <c r="I107" s="60" t="n">
        <v>12</v>
      </c>
      <c r="J107" s="60" t="n">
        <v>0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12</v>
      </c>
      <c r="P107" s="64" t="n">
        <v>33</v>
      </c>
      <c r="Q107" s="65">
        <f>P107-O107</f>
        <v/>
      </c>
      <c r="R107" s="66" t="n">
        <v>0</v>
      </c>
      <c r="S107" s="66" t="n">
        <v>0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251</v>
      </c>
      <c r="Y107" s="69" t="n">
        <v>1</v>
      </c>
      <c r="Z107" s="70">
        <f>X107+Y107</f>
        <v/>
      </c>
      <c r="AA107" s="71" t="n">
        <v>239</v>
      </c>
      <c r="AB107" s="71" t="n">
        <v>1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Alfrets Getah</t>
        </is>
      </c>
      <c r="C108" s="57" t="inlineStr">
        <is>
          <t>alfred86354@gmail.com</t>
        </is>
      </c>
      <c r="D108" s="57" t="inlineStr">
        <is>
          <t>PCL</t>
        </is>
      </c>
      <c r="E108" s="57" t="inlineStr">
        <is>
          <t>(061) TABUKAN SELATAN TENGAH</t>
        </is>
      </c>
      <c r="F108" s="58" t="n">
        <v>284</v>
      </c>
      <c r="G108" s="58" t="n">
        <v>15</v>
      </c>
      <c r="H108" s="59">
        <f>F108+G108</f>
        <v/>
      </c>
      <c r="I108" s="60" t="n">
        <v>20</v>
      </c>
      <c r="J108" s="60" t="n">
        <v>3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20</v>
      </c>
      <c r="P108" s="64" t="n">
        <v>30</v>
      </c>
      <c r="Q108" s="65">
        <f>P108-O108</f>
        <v/>
      </c>
      <c r="R108" s="66" t="n">
        <v>3</v>
      </c>
      <c r="S108" s="66" t="n">
        <v>4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201</v>
      </c>
      <c r="Y108" s="69" t="n">
        <v>8</v>
      </c>
      <c r="Z108" s="70">
        <f>X108+Y108</f>
        <v/>
      </c>
      <c r="AA108" s="71" t="n">
        <v>181</v>
      </c>
      <c r="AB108" s="71" t="n">
        <v>5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Allan Christovel Sapeti</t>
        </is>
      </c>
      <c r="C109" s="57" t="inlineStr">
        <is>
          <t>allansapeti33@gmail.com</t>
        </is>
      </c>
      <c r="D109" s="57" t="inlineStr">
        <is>
          <t>PCL</t>
        </is>
      </c>
      <c r="E109" s="57" t="inlineStr">
        <is>
          <t>(070) TABUKAN TENGAH</t>
        </is>
      </c>
      <c r="F109" s="58" t="n">
        <v>297</v>
      </c>
      <c r="G109" s="58" t="n">
        <v>21</v>
      </c>
      <c r="H109" s="59">
        <f>F109+G109</f>
        <v/>
      </c>
      <c r="I109" s="60" t="n">
        <v>23</v>
      </c>
      <c r="J109" s="60" t="n">
        <v>3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23</v>
      </c>
      <c r="P109" s="64" t="n">
        <v>47</v>
      </c>
      <c r="Q109" s="65">
        <f>P109-O109</f>
        <v/>
      </c>
      <c r="R109" s="66" t="n">
        <v>3</v>
      </c>
      <c r="S109" s="66" t="n">
        <v>4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174</v>
      </c>
      <c r="Y109" s="69" t="n">
        <v>16</v>
      </c>
      <c r="Z109" s="70">
        <f>X109+Y109</f>
        <v/>
      </c>
      <c r="AA109" s="71" t="n">
        <v>151</v>
      </c>
      <c r="AB109" s="71" t="n">
        <v>13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Billy Amstrong Tempolenehe</t>
        </is>
      </c>
      <c r="C110" s="57" t="inlineStr">
        <is>
          <t>billytempolenehe@gmail.com</t>
        </is>
      </c>
      <c r="D110" s="57" t="inlineStr">
        <is>
          <t>PCL</t>
        </is>
      </c>
      <c r="E110" s="57" t="inlineStr">
        <is>
          <t>(050) TAMAKO</t>
        </is>
      </c>
      <c r="F110" s="58" t="n">
        <v>400</v>
      </c>
      <c r="G110" s="58" t="n">
        <v>20</v>
      </c>
      <c r="H110" s="59">
        <f>F110+G110</f>
        <v/>
      </c>
      <c r="I110" s="60" t="n">
        <v>92</v>
      </c>
      <c r="J110" s="60" t="n">
        <v>8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92</v>
      </c>
      <c r="P110" s="64" t="n">
        <v>31</v>
      </c>
      <c r="Q110" s="65">
        <f>P110-O110</f>
        <v/>
      </c>
      <c r="R110" s="66" t="n">
        <v>8</v>
      </c>
      <c r="S110" s="66" t="n">
        <v>9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276</v>
      </c>
      <c r="Y110" s="69" t="n">
        <v>19</v>
      </c>
      <c r="Z110" s="70">
        <f>X110+Y110</f>
        <v/>
      </c>
      <c r="AA110" s="71" t="n">
        <v>184</v>
      </c>
      <c r="AB110" s="71" t="n">
        <v>11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Nefi Anet Wawanda</t>
        </is>
      </c>
      <c r="C111" s="57" t="inlineStr">
        <is>
          <t>nefiwawanda11@gmail.com</t>
        </is>
      </c>
      <c r="D111" s="57" t="inlineStr">
        <is>
          <t>PCL</t>
        </is>
      </c>
      <c r="E111" s="57" t="inlineStr">
        <is>
          <t>(080) MANGANITU</t>
        </is>
      </c>
      <c r="F111" s="58" t="n">
        <v>330</v>
      </c>
      <c r="G111" s="58" t="n">
        <v>31</v>
      </c>
      <c r="H111" s="59">
        <f>F111+G111</f>
        <v/>
      </c>
      <c r="I111" s="60" t="n">
        <v>15</v>
      </c>
      <c r="J111" s="60" t="n">
        <v>5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15</v>
      </c>
      <c r="P111" s="64" t="n">
        <v>41</v>
      </c>
      <c r="Q111" s="65">
        <f>P111-O111</f>
        <v/>
      </c>
      <c r="R111" s="66" t="n">
        <v>5</v>
      </c>
      <c r="S111" s="66" t="n">
        <v>6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228</v>
      </c>
      <c r="Y111" s="69" t="n">
        <v>15</v>
      </c>
      <c r="Z111" s="70">
        <f>X111+Y111</f>
        <v/>
      </c>
      <c r="AA111" s="71" t="n">
        <v>213</v>
      </c>
      <c r="AB111" s="71" t="n">
        <v>10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Roberto Lahapo</t>
        </is>
      </c>
      <c r="C112" s="57" t="inlineStr">
        <is>
          <t>robertolahapo@gmail.com</t>
        </is>
      </c>
      <c r="D112" s="57" t="inlineStr">
        <is>
          <t>PCL</t>
        </is>
      </c>
      <c r="E112" s="57" t="inlineStr">
        <is>
          <t>(050) TAMAKO</t>
        </is>
      </c>
      <c r="F112" s="58" t="n">
        <v>328</v>
      </c>
      <c r="G112" s="58" t="n">
        <v>34</v>
      </c>
      <c r="H112" s="59">
        <f>F112+G112</f>
        <v/>
      </c>
      <c r="I112" s="60" t="n">
        <v>53</v>
      </c>
      <c r="J112" s="60" t="n">
        <v>7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53</v>
      </c>
      <c r="P112" s="64" t="n">
        <v>56</v>
      </c>
      <c r="Q112" s="65">
        <f>P112-O112</f>
        <v/>
      </c>
      <c r="R112" s="66" t="n">
        <v>7</v>
      </c>
      <c r="S112" s="66" t="n">
        <v>8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237</v>
      </c>
      <c r="Y112" s="69" t="n">
        <v>28</v>
      </c>
      <c r="Z112" s="70">
        <f>X112+Y112</f>
        <v/>
      </c>
      <c r="AA112" s="71" t="n">
        <v>184</v>
      </c>
      <c r="AB112" s="71" t="n">
        <v>21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Rofia Pandawa</t>
        </is>
      </c>
      <c r="C113" s="57" t="inlineStr">
        <is>
          <t>fiapandawa339@gmail.com</t>
        </is>
      </c>
      <c r="D113" s="57" t="inlineStr">
        <is>
          <t>PCL</t>
        </is>
      </c>
      <c r="E113" s="57" t="inlineStr">
        <is>
          <t>(100) TABUKAN UTARA</t>
        </is>
      </c>
      <c r="F113" s="58" t="n">
        <v>317</v>
      </c>
      <c r="G113" s="58" t="n">
        <v>14</v>
      </c>
      <c r="H113" s="59">
        <f>F113+G113</f>
        <v/>
      </c>
      <c r="I113" s="60" t="n">
        <v>54</v>
      </c>
      <c r="J113" s="60" t="n">
        <v>6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54</v>
      </c>
      <c r="P113" s="64" t="n">
        <v>43</v>
      </c>
      <c r="Q113" s="65">
        <f>P113-O113</f>
        <v/>
      </c>
      <c r="R113" s="66" t="n">
        <v>6</v>
      </c>
      <c r="S113" s="66" t="n">
        <v>7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245</v>
      </c>
      <c r="Y113" s="69" t="n">
        <v>17</v>
      </c>
      <c r="Z113" s="70">
        <f>X113+Y113</f>
        <v/>
      </c>
      <c r="AA113" s="71" t="n">
        <v>191</v>
      </c>
      <c r="AB113" s="71" t="n">
        <v>11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Grace Dorongpangalo</t>
        </is>
      </c>
      <c r="C114" s="57" t="inlineStr">
        <is>
          <t>gracedorongpangalo11@gmail.com</t>
        </is>
      </c>
      <c r="D114" s="57" t="inlineStr">
        <is>
          <t>PCL</t>
        </is>
      </c>
      <c r="E114" s="57" t="inlineStr">
        <is>
          <t>(070) TABUKAN TENGAH</t>
        </is>
      </c>
      <c r="F114" s="58" t="n">
        <v>343</v>
      </c>
      <c r="G114" s="58" t="n">
        <v>27</v>
      </c>
      <c r="H114" s="59">
        <f>F114+G114</f>
        <v/>
      </c>
      <c r="I114" s="60" t="n">
        <v>29</v>
      </c>
      <c r="J114" s="60" t="n">
        <v>8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29</v>
      </c>
      <c r="P114" s="64" t="n">
        <v>37</v>
      </c>
      <c r="Q114" s="65">
        <f>P114-O114</f>
        <v/>
      </c>
      <c r="R114" s="66" t="n">
        <v>8</v>
      </c>
      <c r="S114" s="66" t="n">
        <v>10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199</v>
      </c>
      <c r="Y114" s="69" t="n">
        <v>24</v>
      </c>
      <c r="Z114" s="70">
        <f>X114+Y114</f>
        <v/>
      </c>
      <c r="AA114" s="71" t="n">
        <v>170</v>
      </c>
      <c r="AB114" s="71" t="n">
        <v>16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Marisye Silpia Limpong</t>
        </is>
      </c>
      <c r="C115" s="57" t="inlineStr">
        <is>
          <t>marisyelimpong@gmail.com</t>
        </is>
      </c>
      <c r="D115" s="57" t="inlineStr">
        <is>
          <t>PCL</t>
        </is>
      </c>
      <c r="E115" s="57" t="inlineStr">
        <is>
          <t>(080) MANGANITU</t>
        </is>
      </c>
      <c r="F115" s="58" t="n">
        <v>304</v>
      </c>
      <c r="G115" s="58" t="n">
        <v>53</v>
      </c>
      <c r="H115" s="59">
        <f>F115+G115</f>
        <v/>
      </c>
      <c r="I115" s="60" t="n">
        <v>105</v>
      </c>
      <c r="J115" s="60" t="n">
        <v>3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105</v>
      </c>
      <c r="P115" s="64" t="n">
        <v>28</v>
      </c>
      <c r="Q115" s="65">
        <f>P115-O115</f>
        <v/>
      </c>
      <c r="R115" s="66" t="n">
        <v>3</v>
      </c>
      <c r="S115" s="66" t="n">
        <v>5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219</v>
      </c>
      <c r="Y115" s="69" t="n">
        <v>12</v>
      </c>
      <c r="Z115" s="70">
        <f>X115+Y115</f>
        <v/>
      </c>
      <c r="AA115" s="71" t="n">
        <v>114</v>
      </c>
      <c r="AB115" s="71" t="n">
        <v>9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Jeklen Malage Dalita</t>
        </is>
      </c>
      <c r="C116" s="57" t="inlineStr">
        <is>
          <t>jeklendalita158@gmail.com</t>
        </is>
      </c>
      <c r="D116" s="57" t="inlineStr">
        <is>
          <t>PCL</t>
        </is>
      </c>
      <c r="E116" s="57" t="inlineStr">
        <is>
          <t>(070) TABUKAN TENGAH</t>
        </is>
      </c>
      <c r="F116" s="58" t="n">
        <v>308</v>
      </c>
      <c r="G116" s="58" t="n">
        <v>44</v>
      </c>
      <c r="H116" s="59">
        <f>F116+G116</f>
        <v/>
      </c>
      <c r="I116" s="60" t="n">
        <v>27</v>
      </c>
      <c r="J116" s="60" t="n">
        <v>8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27</v>
      </c>
      <c r="P116" s="64" t="n">
        <v>37</v>
      </c>
      <c r="Q116" s="65">
        <f>P116-O116</f>
        <v/>
      </c>
      <c r="R116" s="66" t="n">
        <v>8</v>
      </c>
      <c r="S116" s="66" t="n">
        <v>11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171</v>
      </c>
      <c r="Y116" s="69" t="n">
        <v>22</v>
      </c>
      <c r="Z116" s="70">
        <f>X116+Y116</f>
        <v/>
      </c>
      <c r="AA116" s="71" t="n">
        <v>144</v>
      </c>
      <c r="AB116" s="71" t="n">
        <v>14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Regina Kesya Dumumpe</t>
        </is>
      </c>
      <c r="C117" s="57" t="inlineStr">
        <is>
          <t>moginsya32@gmail.com</t>
        </is>
      </c>
      <c r="D117" s="57" t="inlineStr">
        <is>
          <t>PCL</t>
        </is>
      </c>
      <c r="E117" s="57" t="inlineStr">
        <is>
          <t>(080) MANGANITU</t>
        </is>
      </c>
      <c r="F117" s="58" t="n">
        <v>194</v>
      </c>
      <c r="G117" s="58" t="n">
        <v>151</v>
      </c>
      <c r="H117" s="59">
        <f>F117+G117</f>
        <v/>
      </c>
      <c r="I117" s="60" t="n">
        <v>13</v>
      </c>
      <c r="J117" s="60" t="n">
        <v>12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13</v>
      </c>
      <c r="P117" s="64" t="n">
        <v>52</v>
      </c>
      <c r="Q117" s="65">
        <f>P117-O117</f>
        <v/>
      </c>
      <c r="R117" s="66" t="n">
        <v>12</v>
      </c>
      <c r="S117" s="66" t="n">
        <v>15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168</v>
      </c>
      <c r="Y117" s="69" t="n">
        <v>40</v>
      </c>
      <c r="Z117" s="70">
        <f>X117+Y117</f>
        <v/>
      </c>
      <c r="AA117" s="71" t="n">
        <v>155</v>
      </c>
      <c r="AB117" s="71" t="n">
        <v>28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Sulastri Bawenti</t>
        </is>
      </c>
      <c r="C118" s="57" t="inlineStr">
        <is>
          <t>sulastribwnti@gmail.com</t>
        </is>
      </c>
      <c r="D118" s="57" t="inlineStr">
        <is>
          <t>PCL</t>
        </is>
      </c>
      <c r="E118" s="57" t="inlineStr">
        <is>
          <t>(100) TABUKAN UTARA</t>
        </is>
      </c>
      <c r="F118" s="58" t="n">
        <v>350</v>
      </c>
      <c r="G118" s="58" t="n">
        <v>25</v>
      </c>
      <c r="H118" s="59">
        <f>F118+G118</f>
        <v/>
      </c>
      <c r="I118" s="60" t="n">
        <v>22</v>
      </c>
      <c r="J118" s="60" t="n">
        <v>4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22</v>
      </c>
      <c r="P118" s="64" t="n">
        <v>101</v>
      </c>
      <c r="Q118" s="65">
        <f>P118-O118</f>
        <v/>
      </c>
      <c r="R118" s="66" t="n">
        <v>4</v>
      </c>
      <c r="S118" s="66" t="n">
        <v>7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246</v>
      </c>
      <c r="Y118" s="69" t="n">
        <v>14</v>
      </c>
      <c r="Z118" s="70">
        <f>X118+Y118</f>
        <v/>
      </c>
      <c r="AA118" s="71" t="n">
        <v>224</v>
      </c>
      <c r="AB118" s="71" t="n">
        <v>10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Sintike Susanti Meling Horman</t>
        </is>
      </c>
      <c r="C119" s="57" t="inlineStr">
        <is>
          <t>hshyntike@gmail.com</t>
        </is>
      </c>
      <c r="D119" s="57" t="inlineStr">
        <is>
          <t>PCL</t>
        </is>
      </c>
      <c r="E119" s="57" t="inlineStr">
        <is>
          <t>(061) TABUKAN SELATAN TENGAH &amp; (062) TABUKAN SELATAN TENGGARA</t>
        </is>
      </c>
      <c r="F119" s="58" t="n">
        <v>269</v>
      </c>
      <c r="G119" s="58" t="n">
        <v>8</v>
      </c>
      <c r="H119" s="59">
        <f>F119+G119</f>
        <v/>
      </c>
      <c r="I119" s="60" t="n">
        <v>36</v>
      </c>
      <c r="J119" s="60" t="n">
        <v>3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36</v>
      </c>
      <c r="P119" s="64" t="n">
        <v>73</v>
      </c>
      <c r="Q119" s="65">
        <f>P119-O119</f>
        <v/>
      </c>
      <c r="R119" s="66" t="n">
        <v>3</v>
      </c>
      <c r="S119" s="66" t="n">
        <v>7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204</v>
      </c>
      <c r="Y119" s="69" t="n">
        <v>12</v>
      </c>
      <c r="Z119" s="70">
        <f>X119+Y119</f>
        <v/>
      </c>
      <c r="AA119" s="71" t="n">
        <v>168</v>
      </c>
      <c r="AB119" s="71" t="n">
        <v>9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Verawati Cristy Lolaroh</t>
        </is>
      </c>
      <c r="C120" s="57" t="inlineStr">
        <is>
          <t>verawaticristylolaroh02@gmail.com</t>
        </is>
      </c>
      <c r="D120" s="57" t="inlineStr">
        <is>
          <t>PCL</t>
        </is>
      </c>
      <c r="E120" s="57" t="inlineStr">
        <is>
          <t>(091) TAHUNA TIMUR</t>
        </is>
      </c>
      <c r="F120" s="58" t="n">
        <v>346</v>
      </c>
      <c r="G120" s="58" t="n">
        <v>54</v>
      </c>
      <c r="H120" s="59">
        <f>F120+G120</f>
        <v/>
      </c>
      <c r="I120" s="60" t="n">
        <v>58</v>
      </c>
      <c r="J120" s="60" t="n">
        <v>10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58</v>
      </c>
      <c r="P120" s="64" t="n">
        <v>70</v>
      </c>
      <c r="Q120" s="65">
        <f>P120-O120</f>
        <v/>
      </c>
      <c r="R120" s="66" t="n">
        <v>10</v>
      </c>
      <c r="S120" s="66" t="n">
        <v>14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238</v>
      </c>
      <c r="Y120" s="69" t="n">
        <v>29</v>
      </c>
      <c r="Z120" s="70">
        <f>X120+Y120</f>
        <v/>
      </c>
      <c r="AA120" s="71" t="n">
        <v>180</v>
      </c>
      <c r="AB120" s="71" t="n">
        <v>19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Yustin Durian</t>
        </is>
      </c>
      <c r="C121" s="57" t="inlineStr">
        <is>
          <t>yustindurian@gmail.com</t>
        </is>
      </c>
      <c r="D121" s="57" t="inlineStr">
        <is>
          <t>PCL</t>
        </is>
      </c>
      <c r="E121" s="57" t="inlineStr">
        <is>
          <t>(070) TABUKAN TENGAH</t>
        </is>
      </c>
      <c r="F121" s="58" t="n">
        <v>316</v>
      </c>
      <c r="G121" s="58" t="n">
        <v>24</v>
      </c>
      <c r="H121" s="59">
        <f>F121+G121</f>
        <v/>
      </c>
      <c r="I121" s="60" t="n">
        <v>45</v>
      </c>
      <c r="J121" s="60" t="n">
        <v>8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45</v>
      </c>
      <c r="P121" s="64" t="n">
        <v>39</v>
      </c>
      <c r="Q121" s="65">
        <f>P121-O121</f>
        <v/>
      </c>
      <c r="R121" s="66" t="n">
        <v>8</v>
      </c>
      <c r="S121" s="66" t="n">
        <v>12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207</v>
      </c>
      <c r="Y121" s="69" t="n">
        <v>25</v>
      </c>
      <c r="Z121" s="70">
        <f>X121+Y121</f>
        <v/>
      </c>
      <c r="AA121" s="71" t="n">
        <v>162</v>
      </c>
      <c r="AB121" s="71" t="n">
        <v>17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Oktavianti Tangkabiringan</t>
        </is>
      </c>
      <c r="C122" s="57" t="inlineStr">
        <is>
          <t>tangkabiringananti@gmail.com</t>
        </is>
      </c>
      <c r="D122" s="57" t="inlineStr">
        <is>
          <t>PCL</t>
        </is>
      </c>
      <c r="E122" s="57" t="inlineStr">
        <is>
          <t>(110) KENDAHE</t>
        </is>
      </c>
      <c r="F122" s="58" t="n">
        <v>399</v>
      </c>
      <c r="G122" s="58" t="n">
        <v>23</v>
      </c>
      <c r="H122" s="59">
        <f>F122+G122</f>
        <v/>
      </c>
      <c r="I122" s="60" t="n">
        <v>36</v>
      </c>
      <c r="J122" s="60" t="n">
        <v>7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36</v>
      </c>
      <c r="P122" s="64" t="n">
        <v>56</v>
      </c>
      <c r="Q122" s="65">
        <f>P122-O122</f>
        <v/>
      </c>
      <c r="R122" s="66" t="n">
        <v>7</v>
      </c>
      <c r="S122" s="66" t="n">
        <v>12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248</v>
      </c>
      <c r="Y122" s="69" t="n">
        <v>24</v>
      </c>
      <c r="Z122" s="70">
        <f>X122+Y122</f>
        <v/>
      </c>
      <c r="AA122" s="71" t="n">
        <v>212</v>
      </c>
      <c r="AB122" s="71" t="n">
        <v>17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Don Albert Seimahuira</t>
        </is>
      </c>
      <c r="C123" s="57" t="inlineStr">
        <is>
          <t>ungkealbert39@gmail.com</t>
        </is>
      </c>
      <c r="D123" s="57" t="inlineStr">
        <is>
          <t>PCL</t>
        </is>
      </c>
      <c r="E123" s="57" t="inlineStr">
        <is>
          <t>(090) TAHUNA</t>
        </is>
      </c>
      <c r="F123" s="58" t="n">
        <v>337</v>
      </c>
      <c r="G123" s="58" t="n">
        <v>27</v>
      </c>
      <c r="H123" s="59">
        <f>F123+G123</f>
        <v/>
      </c>
      <c r="I123" s="60" t="n">
        <v>54</v>
      </c>
      <c r="J123" s="60" t="n">
        <v>6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54</v>
      </c>
      <c r="P123" s="64" t="n">
        <v>50</v>
      </c>
      <c r="Q123" s="65">
        <f>P123-O123</f>
        <v/>
      </c>
      <c r="R123" s="66" t="n">
        <v>6</v>
      </c>
      <c r="S123" s="66" t="n">
        <v>12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258</v>
      </c>
      <c r="Y123" s="69" t="n">
        <v>21</v>
      </c>
      <c r="Z123" s="70">
        <f>X123+Y123</f>
        <v/>
      </c>
      <c r="AA123" s="71" t="n">
        <v>204</v>
      </c>
      <c r="AB123" s="71" t="n">
        <v>15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Grees Pangandaheng</t>
        </is>
      </c>
      <c r="C124" s="57" t="inlineStr">
        <is>
          <t>greispangandaheng@gmail.com</t>
        </is>
      </c>
      <c r="D124" s="57" t="inlineStr">
        <is>
          <t>PCL</t>
        </is>
      </c>
      <c r="E124" s="57" t="inlineStr">
        <is>
          <t>(050) TAMAKO</t>
        </is>
      </c>
      <c r="F124" s="58" t="n">
        <v>395</v>
      </c>
      <c r="G124" s="58" t="n">
        <v>8</v>
      </c>
      <c r="H124" s="59">
        <f>F124+G124</f>
        <v/>
      </c>
      <c r="I124" s="60" t="n">
        <v>112</v>
      </c>
      <c r="J124" s="60" t="n">
        <v>3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112</v>
      </c>
      <c r="P124" s="64" t="n">
        <v>60</v>
      </c>
      <c r="Q124" s="65">
        <f>P124-O124</f>
        <v/>
      </c>
      <c r="R124" s="66" t="n">
        <v>3</v>
      </c>
      <c r="S124" s="66" t="n">
        <v>9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321</v>
      </c>
      <c r="Y124" s="69" t="n">
        <v>14</v>
      </c>
      <c r="Z124" s="70">
        <f>X124+Y124</f>
        <v/>
      </c>
      <c r="AA124" s="71" t="n">
        <v>209</v>
      </c>
      <c r="AB124" s="71" t="n">
        <v>11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Puteri Teratai Timuhingide</t>
        </is>
      </c>
      <c r="C125" s="57" t="inlineStr">
        <is>
          <t>07pupit@gmail.com</t>
        </is>
      </c>
      <c r="D125" s="57" t="inlineStr">
        <is>
          <t>PCL</t>
        </is>
      </c>
      <c r="E125" s="57" t="inlineStr">
        <is>
          <t>(050) TAMAKO</t>
        </is>
      </c>
      <c r="F125" s="58" t="n">
        <v>310</v>
      </c>
      <c r="G125" s="58" t="n">
        <v>52</v>
      </c>
      <c r="H125" s="59">
        <f>F125+G125</f>
        <v/>
      </c>
      <c r="I125" s="60" t="n">
        <v>48</v>
      </c>
      <c r="J125" s="60" t="n">
        <v>30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48</v>
      </c>
      <c r="P125" s="64" t="n">
        <v>47</v>
      </c>
      <c r="Q125" s="65">
        <f>P125-O125</f>
        <v/>
      </c>
      <c r="R125" s="66" t="n">
        <v>30</v>
      </c>
      <c r="S125" s="66" t="n">
        <v>36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248</v>
      </c>
      <c r="Y125" s="69" t="n">
        <v>86</v>
      </c>
      <c r="Z125" s="70">
        <f>X125+Y125</f>
        <v/>
      </c>
      <c r="AA125" s="71" t="n">
        <v>200</v>
      </c>
      <c r="AB125" s="71" t="n">
        <v>56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Anace Diamanis</t>
        </is>
      </c>
      <c r="C126" s="57" t="inlineStr">
        <is>
          <t>anacediamanis@gmail.com</t>
        </is>
      </c>
      <c r="D126" s="57" t="inlineStr">
        <is>
          <t>PCL</t>
        </is>
      </c>
      <c r="E126" s="57" t="inlineStr">
        <is>
          <t>(080) MANGANITU</t>
        </is>
      </c>
      <c r="F126" s="58" t="n">
        <v>356</v>
      </c>
      <c r="G126" s="58" t="n">
        <v>16</v>
      </c>
      <c r="H126" s="59">
        <f>F126+G126</f>
        <v/>
      </c>
      <c r="I126" s="60" t="n">
        <v>41</v>
      </c>
      <c r="J126" s="60" t="n">
        <v>10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41</v>
      </c>
      <c r="P126" s="64" t="n">
        <v>86</v>
      </c>
      <c r="Q126" s="65">
        <f>P126-O126</f>
        <v/>
      </c>
      <c r="R126" s="66" t="n">
        <v>10</v>
      </c>
      <c r="S126" s="66" t="n">
        <v>18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294</v>
      </c>
      <c r="Y126" s="69" t="n">
        <v>31</v>
      </c>
      <c r="Z126" s="70">
        <f>X126+Y126</f>
        <v/>
      </c>
      <c r="AA126" s="71" t="n">
        <v>253</v>
      </c>
      <c r="AB126" s="71" t="n">
        <v>21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Siti Nurhayati Igirisa</t>
        </is>
      </c>
      <c r="C127" s="57" t="inlineStr">
        <is>
          <t>igirisatia5@gmail.com</t>
        </is>
      </c>
      <c r="D127" s="57" t="inlineStr">
        <is>
          <t>PCL</t>
        </is>
      </c>
      <c r="E127" s="57" t="inlineStr">
        <is>
          <t>(090) TAHUNA</t>
        </is>
      </c>
      <c r="F127" s="58" t="n">
        <v>262</v>
      </c>
      <c r="G127" s="58" t="n">
        <v>150</v>
      </c>
      <c r="H127" s="59">
        <f>F127+G127</f>
        <v/>
      </c>
      <c r="I127" s="60" t="n">
        <v>81</v>
      </c>
      <c r="J127" s="60" t="n">
        <v>22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81</v>
      </c>
      <c r="P127" s="64" t="n">
        <v>59</v>
      </c>
      <c r="Q127" s="65">
        <f>P127-O127</f>
        <v/>
      </c>
      <c r="R127" s="66" t="n">
        <v>22</v>
      </c>
      <c r="S127" s="66" t="n">
        <v>30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209</v>
      </c>
      <c r="Y127" s="69" t="n">
        <v>67</v>
      </c>
      <c r="Z127" s="70">
        <f>X127+Y127</f>
        <v/>
      </c>
      <c r="AA127" s="71" t="n">
        <v>128</v>
      </c>
      <c r="AB127" s="71" t="n">
        <v>45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Misye Yosevin Pulumbara</t>
        </is>
      </c>
      <c r="C128" s="57" t="inlineStr">
        <is>
          <t>misye310580@gmail.com</t>
        </is>
      </c>
      <c r="D128" s="57" t="inlineStr">
        <is>
          <t>PCL</t>
        </is>
      </c>
      <c r="E128" s="57" t="inlineStr">
        <is>
          <t>(100) TABUKAN UTARA</t>
        </is>
      </c>
      <c r="F128" s="58" t="n">
        <v>363</v>
      </c>
      <c r="G128" s="58" t="n">
        <v>10</v>
      </c>
      <c r="H128" s="59">
        <f>F128+G128</f>
        <v/>
      </c>
      <c r="I128" s="60" t="n">
        <v>47</v>
      </c>
      <c r="J128" s="60" t="n">
        <v>8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47</v>
      </c>
      <c r="P128" s="64" t="n">
        <v>42</v>
      </c>
      <c r="Q128" s="65">
        <f>P128-O128</f>
        <v/>
      </c>
      <c r="R128" s="66" t="n">
        <v>8</v>
      </c>
      <c r="S128" s="66" t="n">
        <v>17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257</v>
      </c>
      <c r="Y128" s="69" t="n">
        <v>26</v>
      </c>
      <c r="Z128" s="70">
        <f>X128+Y128</f>
        <v/>
      </c>
      <c r="AA128" s="71" t="n">
        <v>210</v>
      </c>
      <c r="AB128" s="71" t="n">
        <v>18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Voni Fience Sarah Dien</t>
        </is>
      </c>
      <c r="C129" s="57" t="inlineStr">
        <is>
          <t>dienvoni@gmail.com</t>
        </is>
      </c>
      <c r="D129" s="57" t="inlineStr">
        <is>
          <t>PCL</t>
        </is>
      </c>
      <c r="E129" s="57" t="inlineStr">
        <is>
          <t>(110) KENDAHE</t>
        </is>
      </c>
      <c r="F129" s="58" t="n">
        <v>389</v>
      </c>
      <c r="G129" s="58" t="n">
        <v>54</v>
      </c>
      <c r="H129" s="59">
        <f>F129+G129</f>
        <v/>
      </c>
      <c r="I129" s="60" t="n">
        <v>65</v>
      </c>
      <c r="J129" s="60" t="n">
        <v>16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65</v>
      </c>
      <c r="P129" s="64" t="n">
        <v>31</v>
      </c>
      <c r="Q129" s="65">
        <f>P129-O129</f>
        <v/>
      </c>
      <c r="R129" s="66" t="n">
        <v>16</v>
      </c>
      <c r="S129" s="66" t="n">
        <v>27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255</v>
      </c>
      <c r="Y129" s="69" t="n">
        <v>61</v>
      </c>
      <c r="Z129" s="70">
        <f>X129+Y129</f>
        <v/>
      </c>
      <c r="AA129" s="71" t="n">
        <v>190</v>
      </c>
      <c r="AB129" s="71" t="n">
        <v>45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Syamsia Makaminan</t>
        </is>
      </c>
      <c r="C130" s="57" t="inlineStr">
        <is>
          <t>makaminansia79@gmail.com</t>
        </is>
      </c>
      <c r="D130" s="57" t="inlineStr">
        <is>
          <t>PCL</t>
        </is>
      </c>
      <c r="E130" s="57" t="inlineStr">
        <is>
          <t>(100) TABUKAN UTARA</t>
        </is>
      </c>
      <c r="F130" s="58" t="n">
        <v>258</v>
      </c>
      <c r="G130" s="58" t="n">
        <v>74</v>
      </c>
      <c r="H130" s="59">
        <f>F130+G130</f>
        <v/>
      </c>
      <c r="I130" s="60" t="n">
        <v>36</v>
      </c>
      <c r="J130" s="60" t="n">
        <v>48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36</v>
      </c>
      <c r="P130" s="64" t="n">
        <v>80</v>
      </c>
      <c r="Q130" s="65">
        <f>P130-O130</f>
        <v/>
      </c>
      <c r="R130" s="66" t="n">
        <v>48</v>
      </c>
      <c r="S130" s="66" t="n">
        <v>64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258</v>
      </c>
      <c r="Y130" s="69" t="n">
        <v>137</v>
      </c>
      <c r="Z130" s="70">
        <f>X130+Y130</f>
        <v/>
      </c>
      <c r="AA130" s="71" t="n">
        <v>222</v>
      </c>
      <c r="AB130" s="71" t="n">
        <v>89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Meychindy Riane Takaheghesang</t>
        </is>
      </c>
      <c r="C131" s="57" t="inlineStr">
        <is>
          <t>chindytakaheghesang22@gmail.com</t>
        </is>
      </c>
      <c r="D131" s="57" t="inlineStr">
        <is>
          <t>PCL</t>
        </is>
      </c>
      <c r="E131" s="57" t="inlineStr">
        <is>
          <t>(060) TABUKAN SELATAN</t>
        </is>
      </c>
      <c r="F131" s="58" t="n">
        <v>147</v>
      </c>
      <c r="G131" s="58" t="n">
        <v>195</v>
      </c>
      <c r="H131" s="59">
        <f>F131+G131</f>
        <v/>
      </c>
      <c r="I131" s="60" t="n">
        <v>20</v>
      </c>
      <c r="J131" s="60" t="n">
        <v>37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20</v>
      </c>
      <c r="P131" s="64" t="n">
        <v>25</v>
      </c>
      <c r="Q131" s="65">
        <f>P131-O131</f>
        <v/>
      </c>
      <c r="R131" s="66" t="n">
        <v>37</v>
      </c>
      <c r="S131" s="66" t="n">
        <v>56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142</v>
      </c>
      <c r="Y131" s="69" t="n">
        <v>184</v>
      </c>
      <c r="Z131" s="70">
        <f>X131+Y131</f>
        <v/>
      </c>
      <c r="AA131" s="71" t="n">
        <v>122</v>
      </c>
      <c r="AB131" s="71" t="n">
        <v>147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Sandy Anggriawan Makangiras</t>
        </is>
      </c>
      <c r="C132" s="57" t="inlineStr">
        <is>
          <t>anggriawanndyras@gmail.com</t>
        </is>
      </c>
      <c r="D132" s="57" t="inlineStr">
        <is>
          <t>PCL</t>
        </is>
      </c>
      <c r="E132" s="57" t="inlineStr">
        <is>
          <t>(100) TABUKAN UTARA</t>
        </is>
      </c>
      <c r="F132" s="58" t="n">
        <v>154</v>
      </c>
      <c r="G132" s="58" t="n">
        <v>136</v>
      </c>
      <c r="H132" s="59">
        <f>F132+G132</f>
        <v/>
      </c>
      <c r="I132" s="60" t="n">
        <v>19</v>
      </c>
      <c r="J132" s="60" t="n">
        <v>57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19</v>
      </c>
      <c r="P132" s="64" t="n">
        <v>20</v>
      </c>
      <c r="Q132" s="65">
        <f>P132-O132</f>
        <v/>
      </c>
      <c r="R132" s="66" t="n">
        <v>57</v>
      </c>
      <c r="S132" s="66" t="n">
        <v>92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143</v>
      </c>
      <c r="Y132" s="69" t="n">
        <v>201</v>
      </c>
      <c r="Z132" s="70">
        <f>X132+Y132</f>
        <v/>
      </c>
      <c r="AA132" s="71" t="n">
        <v>124</v>
      </c>
      <c r="AB132" s="71" t="n">
        <v>144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Leonardo Rio Patras</t>
        </is>
      </c>
      <c r="C133" s="57" t="inlineStr">
        <is>
          <t>opopatras41@gmail.com</t>
        </is>
      </c>
      <c r="D133" s="57" t="inlineStr">
        <is>
          <t>PCL</t>
        </is>
      </c>
      <c r="E133" s="57" t="inlineStr">
        <is>
          <t>(090) TAHUNA</t>
        </is>
      </c>
      <c r="F133" s="58" t="n">
        <v>182</v>
      </c>
      <c r="G133" s="58" t="n">
        <v>196</v>
      </c>
      <c r="H133" s="59">
        <f>F133+G133</f>
        <v/>
      </c>
      <c r="I133" s="60" t="n">
        <v>28</v>
      </c>
      <c r="J133" s="60" t="n">
        <v>16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28</v>
      </c>
      <c r="P133" s="64" t="n">
        <v>21</v>
      </c>
      <c r="Q133" s="65">
        <f>P133-O133</f>
        <v/>
      </c>
      <c r="R133" s="66" t="n">
        <v>16</v>
      </c>
      <c r="S133" s="66" t="n">
        <v>57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174</v>
      </c>
      <c r="Y133" s="69" t="n">
        <v>88</v>
      </c>
      <c r="Z133" s="70">
        <f>X133+Y133</f>
        <v/>
      </c>
      <c r="AA133" s="71" t="n">
        <v>146</v>
      </c>
      <c r="AB133" s="71" t="n">
        <v>72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Sheryl Jessica Tatontos</t>
        </is>
      </c>
      <c r="C134" s="57" t="inlineStr">
        <is>
          <t>sheryljessica01@gmail.com</t>
        </is>
      </c>
      <c r="D134" s="57" t="inlineStr">
        <is>
          <t>PCL</t>
        </is>
      </c>
      <c r="E134" s="57" t="inlineStr">
        <is>
          <t>(050) TAMAKO</t>
        </is>
      </c>
      <c r="F134" s="58" t="n">
        <v>206</v>
      </c>
      <c r="G134" s="58" t="n">
        <v>160</v>
      </c>
      <c r="H134" s="59">
        <f>F134+G134</f>
        <v/>
      </c>
      <c r="I134" s="60" t="n">
        <v>20</v>
      </c>
      <c r="J134" s="60" t="n">
        <v>43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20</v>
      </c>
      <c r="P134" s="64" t="n">
        <v>33</v>
      </c>
      <c r="Q134" s="65">
        <f>P134-O134</f>
        <v/>
      </c>
      <c r="R134" s="66" t="n">
        <v>43</v>
      </c>
      <c r="S134" s="66" t="n">
        <v>91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187</v>
      </c>
      <c r="Y134" s="69" t="n">
        <v>186</v>
      </c>
      <c r="Z134" s="70">
        <f>X134+Y134</f>
        <v/>
      </c>
      <c r="AA134" s="71" t="n">
        <v>167</v>
      </c>
      <c r="AB134" s="71" t="n">
        <v>143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  <row r="135">
      <c r="A135" s="56" t="n">
        <v>132</v>
      </c>
      <c r="B135" s="57" t="inlineStr">
        <is>
          <t>Ambrosius Tampi Tangkabiringan</t>
        </is>
      </c>
      <c r="C135" s="57" t="inlineStr">
        <is>
          <t>tangkabiringanayen70@gmail.com</t>
        </is>
      </c>
      <c r="D135" s="57" t="inlineStr">
        <is>
          <t>PCL</t>
        </is>
      </c>
      <c r="E135" s="57" t="inlineStr">
        <is>
          <t>(090) TAHUNA</t>
        </is>
      </c>
      <c r="F135" s="58" t="n">
        <v>201</v>
      </c>
      <c r="G135" s="58" t="n">
        <v>178</v>
      </c>
      <c r="H135" s="59">
        <f>F135+G135</f>
        <v/>
      </c>
      <c r="I135" s="60" t="n">
        <v>30</v>
      </c>
      <c r="J135" s="60" t="n">
        <v>7</v>
      </c>
      <c r="K135" s="61">
        <f>I135+J135</f>
        <v/>
      </c>
      <c r="L135" s="62">
        <f>F135-I135</f>
        <v/>
      </c>
      <c r="M135" s="62">
        <f>G135-J135</f>
        <v/>
      </c>
      <c r="N135" s="63">
        <f>L135+M135</f>
        <v/>
      </c>
      <c r="O135" s="64" t="n">
        <v>30</v>
      </c>
      <c r="P135" s="64" t="n">
        <v>33</v>
      </c>
      <c r="Q135" s="65">
        <f>P135-O135</f>
        <v/>
      </c>
      <c r="R135" s="66" t="n">
        <v>7</v>
      </c>
      <c r="S135" s="66" t="n">
        <v>79</v>
      </c>
      <c r="T135" s="67">
        <f>S135-R135</f>
        <v/>
      </c>
      <c r="U135" s="68">
        <f>O135+R135</f>
        <v/>
      </c>
      <c r="V135" s="68">
        <f>P135+S135</f>
        <v/>
      </c>
      <c r="W135" s="68">
        <f>V135-U135</f>
        <v/>
      </c>
      <c r="X135" s="69" t="n">
        <v>153</v>
      </c>
      <c r="Y135" s="69" t="n">
        <v>125</v>
      </c>
      <c r="Z135" s="70">
        <f>X135+Y135</f>
        <v/>
      </c>
      <c r="AA135" s="71" t="n">
        <v>123</v>
      </c>
      <c r="AB135" s="71" t="n">
        <v>118</v>
      </c>
      <c r="AC135" s="72">
        <f>AA135+AB135</f>
        <v/>
      </c>
      <c r="AD135" s="73">
        <f>X135/F135</f>
        <v/>
      </c>
      <c r="AE135" s="73">
        <f>Y135/G135</f>
        <v/>
      </c>
      <c r="AF135" s="73">
        <f>Z135/H135</f>
        <v/>
      </c>
      <c r="AG135" s="73">
        <f>AA135/F135</f>
        <v/>
      </c>
      <c r="AH135" s="73">
        <f>AB135/G135</f>
        <v/>
      </c>
      <c r="AI135" s="73">
        <f>AC135/H135</f>
        <v/>
      </c>
      <c r="AJ135" s="73">
        <f>X135/L135</f>
        <v/>
      </c>
      <c r="AK135" s="73">
        <f>Y135/M135</f>
        <v/>
      </c>
      <c r="AL135" s="73">
        <f>Z135/N135</f>
        <v/>
      </c>
      <c r="AM135" s="73">
        <f>AA135/L135</f>
        <v/>
      </c>
      <c r="AN135" s="73">
        <f>AB135/M135</f>
        <v/>
      </c>
      <c r="AO135" s="73">
        <f>AC135/N135</f>
        <v/>
      </c>
    </row>
  </sheetData>
  <autoFilter ref="A3:AO134">
    <sortState ref="A4:AO134">
      <sortCondition ref="T3:T134"/>
    </sortState>
  </autoFilter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133 AI4:AI133 AL4:AL133 AO4:AO133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L24"/>
  <sheetViews>
    <sheetView tabSelected="1" topLeftCell="K1" workbookViewId="0">
      <selection activeCell="W39" sqref="W39"/>
    </sheetView>
  </sheetViews>
  <sheetFormatPr baseColWidth="8" defaultRowHeight="14.5"/>
  <cols>
    <col width="45.81640625" bestFit="1" customWidth="1" min="2" max="2"/>
  </cols>
  <sheetData>
    <row r="2">
      <c r="C2" s="2" t="inlineStr">
        <is>
          <t>Target</t>
        </is>
      </c>
      <c r="D2" s="52" t="n"/>
      <c r="E2" s="52" t="n"/>
      <c r="F2" s="52" t="n"/>
      <c r="G2" s="52" t="n"/>
      <c r="H2" s="52" t="n"/>
      <c r="I2" s="52" t="n"/>
      <c r="J2" s="52" t="n"/>
      <c r="K2" s="53" t="n"/>
      <c r="L2" s="5" t="inlineStr">
        <is>
          <t>Status Muatan Pendataan</t>
        </is>
      </c>
      <c r="M2" s="52" t="n"/>
      <c r="N2" s="52" t="n"/>
      <c r="O2" s="52" t="n"/>
      <c r="P2" s="52" t="n"/>
      <c r="Q2" s="52" t="n"/>
      <c r="R2" s="52" t="n"/>
      <c r="S2" s="52" t="n"/>
      <c r="T2" s="53" t="n"/>
      <c r="U2" s="3" t="inlineStr">
        <is>
          <t xml:space="preserve">Realisasi </t>
        </is>
      </c>
      <c r="V2" s="52" t="n"/>
      <c r="W2" s="52" t="n"/>
      <c r="X2" s="52" t="n"/>
      <c r="Y2" s="52" t="n"/>
      <c r="Z2" s="53" t="n"/>
      <c r="AA2" s="4" t="inlineStr">
        <is>
          <t>Progres Terhadap Prelist Eligible</t>
        </is>
      </c>
      <c r="AB2" s="52" t="n"/>
      <c r="AC2" s="52" t="n"/>
      <c r="AD2" s="52" t="n"/>
      <c r="AE2" s="52" t="n"/>
      <c r="AF2" s="53" t="n"/>
      <c r="AG2" s="5" t="inlineStr">
        <is>
          <t>Progres Terhadap Prelist Didata</t>
        </is>
      </c>
      <c r="AH2" s="52" t="n"/>
      <c r="AI2" s="52" t="n"/>
      <c r="AJ2" s="52" t="n"/>
      <c r="AK2" s="52" t="n"/>
      <c r="AL2" s="53" t="n"/>
    </row>
    <row r="3">
      <c r="A3" s="50" t="inlineStr">
        <is>
          <t>No.</t>
        </is>
      </c>
      <c r="B3" s="50" t="inlineStr">
        <is>
          <t>KECAMATAN</t>
        </is>
      </c>
      <c r="C3" s="6" t="inlineStr">
        <is>
          <t>Prelist Eligible</t>
        </is>
      </c>
      <c r="D3" s="52" t="n"/>
      <c r="E3" s="53" t="n"/>
      <c r="F3" s="7" t="inlineStr">
        <is>
          <t>Tidak Didata</t>
        </is>
      </c>
      <c r="G3" s="52" t="n"/>
      <c r="H3" s="53" t="n"/>
      <c r="I3" s="8" t="inlineStr">
        <is>
          <t>Prelist Didata</t>
        </is>
      </c>
      <c r="J3" s="52" t="n"/>
      <c r="K3" s="53" t="n"/>
      <c r="L3" s="9" t="inlineStr">
        <is>
          <t>Keluarga</t>
        </is>
      </c>
      <c r="M3" s="52" t="n"/>
      <c r="N3" s="53" t="n"/>
      <c r="O3" s="10" t="inlineStr">
        <is>
          <t>Usaha</t>
        </is>
      </c>
      <c r="P3" s="52" t="n"/>
      <c r="Q3" s="53" t="n"/>
      <c r="R3" s="4" t="inlineStr">
        <is>
          <t>Keluarga + Usaha</t>
        </is>
      </c>
      <c r="S3" s="52" t="n"/>
      <c r="T3" s="53" t="n"/>
      <c r="U3" s="9" t="inlineStr">
        <is>
          <t>Assignment Eligible</t>
        </is>
      </c>
      <c r="V3" s="52" t="n"/>
      <c r="W3" s="53" t="n"/>
      <c r="X3" s="10" t="inlineStr">
        <is>
          <t>Assignment Didata</t>
        </is>
      </c>
      <c r="Y3" s="52" t="n"/>
      <c r="Z3" s="53" t="n"/>
      <c r="AA3" s="11" t="inlineStr">
        <is>
          <t>Assignment Eligible</t>
        </is>
      </c>
      <c r="AB3" s="52" t="n"/>
      <c r="AC3" s="53" t="n"/>
      <c r="AD3" s="12" t="inlineStr">
        <is>
          <t>Assignment Didata</t>
        </is>
      </c>
      <c r="AE3" s="52" t="n"/>
      <c r="AF3" s="53" t="n"/>
      <c r="AG3" s="13" t="inlineStr">
        <is>
          <t>Assignment Eligible</t>
        </is>
      </c>
      <c r="AH3" s="52" t="n"/>
      <c r="AI3" s="53" t="n"/>
      <c r="AJ3" s="14" t="inlineStr">
        <is>
          <t>Assignment Didata</t>
        </is>
      </c>
      <c r="AK3" s="52" t="n"/>
      <c r="AL3" s="53" t="n"/>
    </row>
    <row r="4">
      <c r="A4" s="54" t="n"/>
      <c r="B4" s="54" t="n"/>
      <c r="C4" s="17" t="inlineStr">
        <is>
          <t>Keluarga</t>
        </is>
      </c>
      <c r="D4" s="17" t="inlineStr">
        <is>
          <t>Usaha</t>
        </is>
      </c>
      <c r="E4" s="17" t="inlineStr">
        <is>
          <t>Jumlah</t>
        </is>
      </c>
      <c r="F4" s="18" t="inlineStr">
        <is>
          <t>Keluarga</t>
        </is>
      </c>
      <c r="G4" s="18" t="inlineStr">
        <is>
          <t>Usaha</t>
        </is>
      </c>
      <c r="H4" s="18" t="inlineStr">
        <is>
          <t>Jumlah</t>
        </is>
      </c>
      <c r="I4" s="19" t="inlineStr">
        <is>
          <t>Keluarga</t>
        </is>
      </c>
      <c r="J4" s="19" t="inlineStr">
        <is>
          <t>Usaha</t>
        </is>
      </c>
      <c r="K4" s="19" t="inlineStr">
        <is>
          <t>Jumlah</t>
        </is>
      </c>
      <c r="L4" s="20" t="inlineStr">
        <is>
          <t>Tidak Didata</t>
        </is>
      </c>
      <c r="M4" s="20" t="inlineStr">
        <is>
          <t>Baru</t>
        </is>
      </c>
      <c r="N4" s="20" t="inlineStr">
        <is>
          <t>Selisih</t>
        </is>
      </c>
      <c r="O4" s="21" t="inlineStr">
        <is>
          <t>Tidak Didata</t>
        </is>
      </c>
      <c r="P4" s="21" t="inlineStr">
        <is>
          <t>Baru</t>
        </is>
      </c>
      <c r="Q4" s="21" t="inlineStr">
        <is>
          <t>Selisih</t>
        </is>
      </c>
      <c r="R4" s="22" t="inlineStr">
        <is>
          <t>Tidak Didata</t>
        </is>
      </c>
      <c r="S4" s="22" t="inlineStr">
        <is>
          <t>Baru</t>
        </is>
      </c>
      <c r="T4" s="22" t="inlineStr">
        <is>
          <t>Selisih</t>
        </is>
      </c>
      <c r="U4" s="20" t="inlineStr">
        <is>
          <t>Keluarga</t>
        </is>
      </c>
      <c r="V4" s="20" t="inlineStr">
        <is>
          <t>Usaha</t>
        </is>
      </c>
      <c r="W4" s="20" t="inlineStr">
        <is>
          <t>Jumlah</t>
        </is>
      </c>
      <c r="X4" s="21" t="inlineStr">
        <is>
          <t>Keluarga</t>
        </is>
      </c>
      <c r="Y4" s="21" t="inlineStr">
        <is>
          <t>Usaha</t>
        </is>
      </c>
      <c r="Z4" s="21" t="inlineStr">
        <is>
          <t>Jumlah</t>
        </is>
      </c>
      <c r="AA4" s="22" t="inlineStr">
        <is>
          <t>Keluarga</t>
        </is>
      </c>
      <c r="AB4" s="22" t="inlineStr">
        <is>
          <t>Usaha</t>
        </is>
      </c>
      <c r="AC4" s="22" t="inlineStr">
        <is>
          <t>Jumlah</t>
        </is>
      </c>
      <c r="AD4" s="23" t="inlineStr">
        <is>
          <t>Keluarga</t>
        </is>
      </c>
      <c r="AE4" s="23" t="inlineStr">
        <is>
          <t>Usaha</t>
        </is>
      </c>
      <c r="AF4" s="23" t="inlineStr">
        <is>
          <t>Jumlah</t>
        </is>
      </c>
      <c r="AG4" s="24" t="inlineStr">
        <is>
          <t>Keluarga</t>
        </is>
      </c>
      <c r="AH4" s="24" t="inlineStr">
        <is>
          <t>Usaha</t>
        </is>
      </c>
      <c r="AI4" s="24" t="inlineStr">
        <is>
          <t>Jumlah</t>
        </is>
      </c>
      <c r="AJ4" s="25" t="inlineStr">
        <is>
          <t>Keluarga</t>
        </is>
      </c>
      <c r="AK4" s="25" t="inlineStr">
        <is>
          <t>Usaha</t>
        </is>
      </c>
      <c r="AL4" s="25" t="inlineStr">
        <is>
          <t>Jumlah</t>
        </is>
      </c>
    </row>
    <row r="5">
      <c r="A5" s="26" t="n">
        <v>1</v>
      </c>
      <c r="B5" s="51" t="inlineStr">
        <is>
          <t>Manganitu Selatan</t>
        </is>
      </c>
      <c r="C5" t="n">
        <v>6118</v>
      </c>
      <c r="D5" t="n">
        <v>1016</v>
      </c>
      <c r="E5">
        <f>C5+D5</f>
        <v/>
      </c>
      <c r="F5" t="n">
        <v>868</v>
      </c>
      <c r="G5" t="n">
        <v>340</v>
      </c>
      <c r="H5">
        <f>F5+G5</f>
        <v/>
      </c>
      <c r="I5">
        <f>C5-F5</f>
        <v/>
      </c>
      <c r="J5">
        <f>D5-G5</f>
        <v/>
      </c>
      <c r="K5">
        <f>I5+J5</f>
        <v/>
      </c>
      <c r="L5" t="n">
        <v>868</v>
      </c>
      <c r="M5" t="n">
        <v>780</v>
      </c>
      <c r="N5">
        <f>M5-L5</f>
        <v/>
      </c>
      <c r="O5" t="n">
        <v>340</v>
      </c>
      <c r="P5" t="n">
        <v>120</v>
      </c>
      <c r="Q5">
        <f>P5-O5</f>
        <v/>
      </c>
      <c r="R5">
        <f>L5+O5</f>
        <v/>
      </c>
      <c r="S5">
        <f>M5+P5</f>
        <v/>
      </c>
      <c r="T5">
        <f>S5-R5</f>
        <v/>
      </c>
      <c r="U5" t="n">
        <v>5180</v>
      </c>
      <c r="V5" t="n">
        <v>740</v>
      </c>
      <c r="W5">
        <f>U5+V5</f>
        <v/>
      </c>
      <c r="X5" t="n">
        <v>4312</v>
      </c>
      <c r="Y5" t="n">
        <v>400</v>
      </c>
      <c r="Z5">
        <f>X5+Y5</f>
        <v/>
      </c>
      <c r="AA5" s="55">
        <f>U5/C5</f>
        <v/>
      </c>
      <c r="AB5" s="55">
        <f>V5/D5</f>
        <v/>
      </c>
      <c r="AC5" s="55">
        <f>W5/E5</f>
        <v/>
      </c>
      <c r="AD5" s="55">
        <f>X5/C5</f>
        <v/>
      </c>
      <c r="AE5" s="55">
        <f>Y5/D5</f>
        <v/>
      </c>
      <c r="AF5" s="55">
        <f>Z5/E5</f>
        <v/>
      </c>
      <c r="AG5" s="55">
        <f>U5/I5</f>
        <v/>
      </c>
      <c r="AH5" s="55">
        <f>V5/J5</f>
        <v/>
      </c>
      <c r="AI5" s="55">
        <f>W5/K5</f>
        <v/>
      </c>
      <c r="AJ5" s="55">
        <f>X5/I5</f>
        <v/>
      </c>
      <c r="AK5" s="55">
        <f>Y5/J5</f>
        <v/>
      </c>
      <c r="AL5" s="55">
        <f>Z5/K5</f>
        <v/>
      </c>
    </row>
    <row r="6">
      <c r="A6" s="26" t="n">
        <v>2</v>
      </c>
      <c r="B6" s="51" t="inlineStr">
        <is>
          <t>Tatoareng</t>
        </is>
      </c>
      <c r="C6" t="n">
        <v>2266</v>
      </c>
      <c r="D6" t="n">
        <v>262</v>
      </c>
      <c r="E6">
        <f>C6+D6</f>
        <v/>
      </c>
      <c r="F6" t="n">
        <v>406</v>
      </c>
      <c r="G6" t="n">
        <v>78</v>
      </c>
      <c r="H6">
        <f>F6+G6</f>
        <v/>
      </c>
      <c r="I6">
        <f>C6-F6</f>
        <v/>
      </c>
      <c r="J6">
        <f>D6-G6</f>
        <v/>
      </c>
      <c r="K6">
        <f>I6+J6</f>
        <v/>
      </c>
      <c r="L6" t="n">
        <v>406</v>
      </c>
      <c r="M6" t="n">
        <v>216</v>
      </c>
      <c r="N6">
        <f>M6-L6</f>
        <v/>
      </c>
      <c r="O6" t="n">
        <v>78</v>
      </c>
      <c r="P6" t="n">
        <v>4</v>
      </c>
      <c r="Q6">
        <f>P6-O6</f>
        <v/>
      </c>
      <c r="R6">
        <f>L6+O6</f>
        <v/>
      </c>
      <c r="S6">
        <f>M6+P6</f>
        <v/>
      </c>
      <c r="T6">
        <f>S6-R6</f>
        <v/>
      </c>
      <c r="U6" t="n">
        <v>1682</v>
      </c>
      <c r="V6" t="n">
        <v>134</v>
      </c>
      <c r="W6">
        <f>U6+V6</f>
        <v/>
      </c>
      <c r="X6" t="n">
        <v>1276</v>
      </c>
      <c r="Y6" t="n">
        <v>56</v>
      </c>
      <c r="Z6">
        <f>X6+Y6</f>
        <v/>
      </c>
      <c r="AA6" s="55">
        <f>U6/C6</f>
        <v/>
      </c>
      <c r="AB6" s="55">
        <f>V6/D6</f>
        <v/>
      </c>
      <c r="AC6" s="55">
        <f>W6/E6</f>
        <v/>
      </c>
      <c r="AD6" s="55">
        <f>X6/C6</f>
        <v/>
      </c>
      <c r="AE6" s="55">
        <f>Y6/D6</f>
        <v/>
      </c>
      <c r="AF6" s="55">
        <f>Z6/E6</f>
        <v/>
      </c>
      <c r="AG6" s="55">
        <f>U6/I6</f>
        <v/>
      </c>
      <c r="AH6" s="55">
        <f>V6/J6</f>
        <v/>
      </c>
      <c r="AI6" s="55">
        <f>W6/K6</f>
        <v/>
      </c>
      <c r="AJ6" s="55">
        <f>X6/I6</f>
        <v/>
      </c>
      <c r="AK6" s="55">
        <f>Y6/J6</f>
        <v/>
      </c>
      <c r="AL6" s="55">
        <f>Z6/K6</f>
        <v/>
      </c>
    </row>
    <row r="7">
      <c r="A7" s="26" t="n">
        <v>3</v>
      </c>
      <c r="B7" s="51" t="inlineStr">
        <is>
          <t>Tamako</t>
        </is>
      </c>
      <c r="C7" t="n">
        <v>8317</v>
      </c>
      <c r="D7" t="n">
        <v>1000</v>
      </c>
      <c r="E7">
        <f>C7+D7</f>
        <v/>
      </c>
      <c r="F7" t="n">
        <v>1564</v>
      </c>
      <c r="G7" t="n">
        <v>415</v>
      </c>
      <c r="H7">
        <f>F7+G7</f>
        <v/>
      </c>
      <c r="I7">
        <f>C7-F7</f>
        <v/>
      </c>
      <c r="J7">
        <f>D7-G7</f>
        <v/>
      </c>
      <c r="K7">
        <f>I7+J7</f>
        <v/>
      </c>
      <c r="L7" t="n">
        <v>1564</v>
      </c>
      <c r="M7" t="n">
        <v>910</v>
      </c>
      <c r="N7">
        <f>M7-L7</f>
        <v/>
      </c>
      <c r="O7" t="n">
        <v>415</v>
      </c>
      <c r="P7" t="n">
        <v>447</v>
      </c>
      <c r="Q7">
        <f>P7-O7</f>
        <v/>
      </c>
      <c r="R7">
        <f>L7+O7</f>
        <v/>
      </c>
      <c r="S7">
        <f>M7+P7</f>
        <v/>
      </c>
      <c r="T7">
        <f>S7-R7</f>
        <v/>
      </c>
      <c r="U7" t="n">
        <v>6789</v>
      </c>
      <c r="V7" t="n">
        <v>1096</v>
      </c>
      <c r="W7">
        <f>U7+V7</f>
        <v/>
      </c>
      <c r="X7" t="n">
        <v>5225</v>
      </c>
      <c r="Y7" t="n">
        <v>681</v>
      </c>
      <c r="Z7">
        <f>X7+Y7</f>
        <v/>
      </c>
      <c r="AA7" s="55">
        <f>U7/C7</f>
        <v/>
      </c>
      <c r="AB7" s="55">
        <f>V7/D7</f>
        <v/>
      </c>
      <c r="AC7" s="55">
        <f>W7/E7</f>
        <v/>
      </c>
      <c r="AD7" s="55">
        <f>X7/C7</f>
        <v/>
      </c>
      <c r="AE7" s="55">
        <f>Y7/D7</f>
        <v/>
      </c>
      <c r="AF7" s="55">
        <f>Z7/E7</f>
        <v/>
      </c>
      <c r="AG7" s="55">
        <f>U7/I7</f>
        <v/>
      </c>
      <c r="AH7" s="55">
        <f>V7/J7</f>
        <v/>
      </c>
      <c r="AI7" s="55">
        <f>W7/K7</f>
        <v/>
      </c>
      <c r="AJ7" s="55">
        <f>X7/I7</f>
        <v/>
      </c>
      <c r="AK7" s="55">
        <f>Y7/J7</f>
        <v/>
      </c>
      <c r="AL7" s="55">
        <f>Z7/K7</f>
        <v/>
      </c>
    </row>
    <row r="8">
      <c r="A8" s="26" t="n"/>
      <c r="B8" s="51" t="inlineStr">
        <is>
          <t>Tamako dan Manganitu Selatan</t>
        </is>
      </c>
      <c r="C8" t="n">
        <v>1658</v>
      </c>
      <c r="D8" t="n">
        <v>170</v>
      </c>
      <c r="E8">
        <f>C8+D8</f>
        <v/>
      </c>
      <c r="F8" t="n">
        <v>232</v>
      </c>
      <c r="G8" t="n">
        <v>43</v>
      </c>
      <c r="H8">
        <f>F8+G8</f>
        <v/>
      </c>
      <c r="I8">
        <f>C8-F8</f>
        <v/>
      </c>
      <c r="J8">
        <f>D8-G8</f>
        <v/>
      </c>
      <c r="K8">
        <f>I8+J8</f>
        <v/>
      </c>
      <c r="L8" t="n">
        <v>232</v>
      </c>
      <c r="M8" t="n">
        <v>301</v>
      </c>
      <c r="N8">
        <f>M8-L8</f>
        <v/>
      </c>
      <c r="O8" t="n">
        <v>43</v>
      </c>
      <c r="P8" t="n">
        <v>52</v>
      </c>
      <c r="Q8">
        <f>P8-O8</f>
        <v/>
      </c>
      <c r="R8">
        <f>L8+O8</f>
        <v/>
      </c>
      <c r="S8">
        <f>M8+P8</f>
        <v/>
      </c>
      <c r="T8">
        <f>S8-R8</f>
        <v/>
      </c>
      <c r="U8" t="n">
        <v>1192</v>
      </c>
      <c r="V8" t="n">
        <v>134</v>
      </c>
      <c r="W8">
        <f>U8+V8</f>
        <v/>
      </c>
      <c r="X8" t="n">
        <v>960</v>
      </c>
      <c r="Y8" t="n">
        <v>91</v>
      </c>
      <c r="Z8">
        <f>X8+Y8</f>
        <v/>
      </c>
      <c r="AA8" s="55">
        <f>U8/C8</f>
        <v/>
      </c>
      <c r="AB8" s="55">
        <f>V8/D8</f>
        <v/>
      </c>
      <c r="AC8" s="55">
        <f>W8/E8</f>
        <v/>
      </c>
      <c r="AD8" s="55">
        <f>X8/C8</f>
        <v/>
      </c>
      <c r="AE8" s="55">
        <f>Y8/D8</f>
        <v/>
      </c>
      <c r="AF8" s="55">
        <f>Z8/E8</f>
        <v/>
      </c>
      <c r="AG8" s="55">
        <f>U8/I8</f>
        <v/>
      </c>
      <c r="AH8" s="55">
        <f>V8/J8</f>
        <v/>
      </c>
      <c r="AI8" s="55">
        <f>W8/K8</f>
        <v/>
      </c>
      <c r="AJ8" s="55">
        <f>X8/I8</f>
        <v/>
      </c>
      <c r="AK8" s="55">
        <f>Y8/J8</f>
        <v/>
      </c>
      <c r="AL8" s="55">
        <f>Z8/K8</f>
        <v/>
      </c>
    </row>
    <row r="9">
      <c r="A9" s="26" t="n">
        <v>4</v>
      </c>
      <c r="B9" s="51" t="inlineStr">
        <is>
          <t>Tabukan Selatan</t>
        </is>
      </c>
      <c r="C9" t="n">
        <v>3933</v>
      </c>
      <c r="D9" t="n">
        <v>847</v>
      </c>
      <c r="E9">
        <f>C9+D9</f>
        <v/>
      </c>
      <c r="F9" t="n">
        <v>621</v>
      </c>
      <c r="G9" t="n">
        <v>281</v>
      </c>
      <c r="H9">
        <f>F9+G9</f>
        <v/>
      </c>
      <c r="I9">
        <f>C9-F9</f>
        <v/>
      </c>
      <c r="J9">
        <f>D9-G9</f>
        <v/>
      </c>
      <c r="K9">
        <f>I9+J9</f>
        <v/>
      </c>
      <c r="L9" t="n">
        <v>621</v>
      </c>
      <c r="M9" t="n">
        <v>608</v>
      </c>
      <c r="N9">
        <f>M9-L9</f>
        <v/>
      </c>
      <c r="O9" t="n">
        <v>281</v>
      </c>
      <c r="P9" t="n">
        <v>170</v>
      </c>
      <c r="Q9">
        <f>P9-O9</f>
        <v/>
      </c>
      <c r="R9">
        <f>L9+O9</f>
        <v/>
      </c>
      <c r="S9">
        <f>M9+P9</f>
        <v/>
      </c>
      <c r="T9">
        <f>S9-R9</f>
        <v/>
      </c>
      <c r="U9" t="n">
        <v>3485</v>
      </c>
      <c r="V9" t="n">
        <v>737</v>
      </c>
      <c r="W9">
        <f>U9+V9</f>
        <v/>
      </c>
      <c r="X9" t="n">
        <v>2864</v>
      </c>
      <c r="Y9" t="n">
        <v>456</v>
      </c>
      <c r="Z9">
        <f>X9+Y9</f>
        <v/>
      </c>
      <c r="AA9" s="55">
        <f>U9/C9</f>
        <v/>
      </c>
      <c r="AB9" s="55">
        <f>V9/D9</f>
        <v/>
      </c>
      <c r="AC9" s="55">
        <f>W9/E9</f>
        <v/>
      </c>
      <c r="AD9" s="55">
        <f>X9/C9</f>
        <v/>
      </c>
      <c r="AE9" s="55">
        <f>Y9/D9</f>
        <v/>
      </c>
      <c r="AF9" s="55">
        <f>Z9/E9</f>
        <v/>
      </c>
      <c r="AG9" s="55">
        <f>U9/I9</f>
        <v/>
      </c>
      <c r="AH9" s="55">
        <f>V9/J9</f>
        <v/>
      </c>
      <c r="AI9" s="55">
        <f>W9/K9</f>
        <v/>
      </c>
      <c r="AJ9" s="55">
        <f>X9/I9</f>
        <v/>
      </c>
      <c r="AK9" s="55">
        <f>Y9/J9</f>
        <v/>
      </c>
      <c r="AL9" s="55">
        <f>Z9/K9</f>
        <v/>
      </c>
    </row>
    <row r="10">
      <c r="A10" s="26" t="n"/>
      <c r="B10" s="51" t="inlineStr">
        <is>
          <t>Tabukan Selatan dan Tabukan Selatan Tengah</t>
        </is>
      </c>
      <c r="C10" t="n">
        <v>1763</v>
      </c>
      <c r="D10" t="n">
        <v>212</v>
      </c>
      <c r="E10">
        <f>C10+D10</f>
        <v/>
      </c>
      <c r="F10" t="n">
        <v>261</v>
      </c>
      <c r="G10" t="n">
        <v>77</v>
      </c>
      <c r="H10">
        <f>F10+G10</f>
        <v/>
      </c>
      <c r="I10">
        <f>C10-F10</f>
        <v/>
      </c>
      <c r="J10">
        <f>D10-G10</f>
        <v/>
      </c>
      <c r="K10">
        <f>I10+J10</f>
        <v/>
      </c>
      <c r="L10" t="n">
        <v>261</v>
      </c>
      <c r="M10" t="n">
        <v>252</v>
      </c>
      <c r="N10">
        <f>M10-L10</f>
        <v/>
      </c>
      <c r="O10" t="n">
        <v>77</v>
      </c>
      <c r="P10" t="n">
        <v>29</v>
      </c>
      <c r="Q10">
        <f>P10-O10</f>
        <v/>
      </c>
      <c r="R10">
        <f>L10+O10</f>
        <v/>
      </c>
      <c r="S10">
        <f>M10+P10</f>
        <v/>
      </c>
      <c r="T10">
        <f>S10-R10</f>
        <v/>
      </c>
      <c r="U10" t="n">
        <v>1153</v>
      </c>
      <c r="V10" t="n">
        <v>161</v>
      </c>
      <c r="W10">
        <f>U10+V10</f>
        <v/>
      </c>
      <c r="X10" t="n">
        <v>892</v>
      </c>
      <c r="Y10" t="n">
        <v>84</v>
      </c>
      <c r="Z10">
        <f>X10+Y10</f>
        <v/>
      </c>
      <c r="AA10" s="55">
        <f>U10/C10</f>
        <v/>
      </c>
      <c r="AB10" s="55">
        <f>V10/D10</f>
        <v/>
      </c>
      <c r="AC10" s="55">
        <f>W10/E10</f>
        <v/>
      </c>
      <c r="AD10" s="55">
        <f>X10/C10</f>
        <v/>
      </c>
      <c r="AE10" s="55">
        <f>Y10/D10</f>
        <v/>
      </c>
      <c r="AF10" s="55">
        <f>Z10/E10</f>
        <v/>
      </c>
      <c r="AG10" s="55">
        <f>U10/I10</f>
        <v/>
      </c>
      <c r="AH10" s="55">
        <f>V10/J10</f>
        <v/>
      </c>
      <c r="AI10" s="55">
        <f>W10/K10</f>
        <v/>
      </c>
      <c r="AJ10" s="55">
        <f>X10/I10</f>
        <v/>
      </c>
      <c r="AK10" s="55">
        <f>Y10/J10</f>
        <v/>
      </c>
      <c r="AL10" s="55">
        <f>Z10/K10</f>
        <v/>
      </c>
    </row>
    <row r="11">
      <c r="A11" s="26" t="n">
        <v>5</v>
      </c>
      <c r="B11" s="51" t="inlineStr">
        <is>
          <t>Tabukan Selatan Tengah</t>
        </is>
      </c>
      <c r="C11" t="n">
        <v>804</v>
      </c>
      <c r="D11" t="n">
        <v>92</v>
      </c>
      <c r="E11">
        <f>C11+D11</f>
        <v/>
      </c>
      <c r="F11" t="n">
        <v>86</v>
      </c>
      <c r="G11" t="n">
        <v>24</v>
      </c>
      <c r="H11">
        <f>F11+G11</f>
        <v/>
      </c>
      <c r="I11">
        <f>C11-F11</f>
        <v/>
      </c>
      <c r="J11">
        <f>D11-G11</f>
        <v/>
      </c>
      <c r="K11">
        <f>I11+J11</f>
        <v/>
      </c>
      <c r="L11" t="n">
        <v>86</v>
      </c>
      <c r="M11" t="n">
        <v>74</v>
      </c>
      <c r="N11">
        <f>M11-L11</f>
        <v/>
      </c>
      <c r="O11" t="n">
        <v>24</v>
      </c>
      <c r="P11" t="n">
        <v>10</v>
      </c>
      <c r="Q11">
        <f>P11-O11</f>
        <v/>
      </c>
      <c r="R11">
        <f>L11+O11</f>
        <v/>
      </c>
      <c r="S11">
        <f>M11+P11</f>
        <v/>
      </c>
      <c r="T11">
        <f>S11-R11</f>
        <v/>
      </c>
      <c r="U11" t="n">
        <v>597</v>
      </c>
      <c r="V11" t="n">
        <v>63</v>
      </c>
      <c r="W11">
        <f>U11+V11</f>
        <v/>
      </c>
      <c r="X11" t="n">
        <v>511</v>
      </c>
      <c r="Y11" t="n">
        <v>39</v>
      </c>
      <c r="Z11">
        <f>X11+Y11</f>
        <v/>
      </c>
      <c r="AA11" s="55">
        <f>U11/C11</f>
        <v/>
      </c>
      <c r="AB11" s="55">
        <f>V11/D11</f>
        <v/>
      </c>
      <c r="AC11" s="55">
        <f>W11/E11</f>
        <v/>
      </c>
      <c r="AD11" s="55">
        <f>X11/C11</f>
        <v/>
      </c>
      <c r="AE11" s="55">
        <f>Y11/D11</f>
        <v/>
      </c>
      <c r="AF11" s="55">
        <f>Z11/E11</f>
        <v/>
      </c>
      <c r="AG11" s="55">
        <f>U11/I11</f>
        <v/>
      </c>
      <c r="AH11" s="55">
        <f>V11/J11</f>
        <v/>
      </c>
      <c r="AI11" s="55">
        <f>W11/K11</f>
        <v/>
      </c>
      <c r="AJ11" s="55">
        <f>X11/I11</f>
        <v/>
      </c>
      <c r="AK11" s="55">
        <f>Y11/J11</f>
        <v/>
      </c>
      <c r="AL11" s="55">
        <f>Z11/K11</f>
        <v/>
      </c>
    </row>
    <row r="12">
      <c r="A12" s="26" t="n"/>
      <c r="B12" s="51" t="inlineStr">
        <is>
          <t>Tabukan Selatan Tengah dan Tabukan Selatan Tenggara</t>
        </is>
      </c>
      <c r="C12" t="n">
        <v>2350</v>
      </c>
      <c r="D12" t="n">
        <v>246</v>
      </c>
      <c r="E12">
        <f>C12+D12</f>
        <v/>
      </c>
      <c r="F12" t="n">
        <v>252</v>
      </c>
      <c r="G12" t="n">
        <v>72</v>
      </c>
      <c r="H12">
        <f>F12+G12</f>
        <v/>
      </c>
      <c r="I12">
        <f>C12-F12</f>
        <v/>
      </c>
      <c r="J12">
        <f>D12-G12</f>
        <v/>
      </c>
      <c r="K12">
        <f>I12+J12</f>
        <v/>
      </c>
      <c r="L12" t="n">
        <v>252</v>
      </c>
      <c r="M12" t="n">
        <v>306</v>
      </c>
      <c r="N12">
        <f>M12-L12</f>
        <v/>
      </c>
      <c r="O12" t="n">
        <v>72</v>
      </c>
      <c r="P12" t="n">
        <v>46</v>
      </c>
      <c r="Q12">
        <f>P12-O12</f>
        <v/>
      </c>
      <c r="R12">
        <f>L12+O12</f>
        <v/>
      </c>
      <c r="S12">
        <f>M12+P12</f>
        <v/>
      </c>
      <c r="T12">
        <f>S12-R12</f>
        <v/>
      </c>
      <c r="U12" t="n">
        <v>1607</v>
      </c>
      <c r="V12" t="n">
        <v>159</v>
      </c>
      <c r="W12">
        <f>U12+V12</f>
        <v/>
      </c>
      <c r="X12" t="n">
        <v>1355</v>
      </c>
      <c r="Y12" t="n">
        <v>87</v>
      </c>
      <c r="Z12">
        <f>X12+Y12</f>
        <v/>
      </c>
      <c r="AA12" s="55">
        <f>U12/C12</f>
        <v/>
      </c>
      <c r="AB12" s="55">
        <f>V12/D12</f>
        <v/>
      </c>
      <c r="AC12" s="55">
        <f>W12/E12</f>
        <v/>
      </c>
      <c r="AD12" s="55">
        <f>X12/C12</f>
        <v/>
      </c>
      <c r="AE12" s="55">
        <f>Y12/D12</f>
        <v/>
      </c>
      <c r="AF12" s="55">
        <f>Z12/E12</f>
        <v/>
      </c>
      <c r="AG12" s="55">
        <f>U12/I12</f>
        <v/>
      </c>
      <c r="AH12" s="55">
        <f>V12/J12</f>
        <v/>
      </c>
      <c r="AI12" s="55">
        <f>W12/K12</f>
        <v/>
      </c>
      <c r="AJ12" s="55">
        <f>X12/I12</f>
        <v/>
      </c>
      <c r="AK12" s="55">
        <f>Y12/J12</f>
        <v/>
      </c>
      <c r="AL12" s="55">
        <f>Z12/K12</f>
        <v/>
      </c>
    </row>
    <row r="13">
      <c r="A13" s="26" t="n">
        <v>7</v>
      </c>
      <c r="B13" s="51" t="inlineStr">
        <is>
          <t>Tabukan Tengah</t>
        </is>
      </c>
      <c r="C13" t="n">
        <v>5234</v>
      </c>
      <c r="D13" t="n">
        <v>487</v>
      </c>
      <c r="E13">
        <f>C13+D13</f>
        <v/>
      </c>
      <c r="F13" t="n">
        <v>604</v>
      </c>
      <c r="G13" t="n">
        <v>124</v>
      </c>
      <c r="H13">
        <f>F13+G13</f>
        <v/>
      </c>
      <c r="I13">
        <f>C13-F13</f>
        <v/>
      </c>
      <c r="J13">
        <f>D13-G13</f>
        <v/>
      </c>
      <c r="K13">
        <f>I13+J13</f>
        <v/>
      </c>
      <c r="L13" t="n">
        <v>604</v>
      </c>
      <c r="M13" t="n">
        <v>666</v>
      </c>
      <c r="N13">
        <f>M13-L13</f>
        <v/>
      </c>
      <c r="O13" t="n">
        <v>124</v>
      </c>
      <c r="P13" t="n">
        <v>113</v>
      </c>
      <c r="Q13">
        <f>P13-O13</f>
        <v/>
      </c>
      <c r="R13">
        <f>L13+O13</f>
        <v/>
      </c>
      <c r="S13">
        <f>M13+P13</f>
        <v/>
      </c>
      <c r="T13">
        <f>S13-R13</f>
        <v/>
      </c>
      <c r="U13" t="n">
        <v>3094</v>
      </c>
      <c r="V13" t="n">
        <v>356</v>
      </c>
      <c r="W13">
        <f>U13+V13</f>
        <v/>
      </c>
      <c r="X13" t="n">
        <v>2490</v>
      </c>
      <c r="Y13" t="n">
        <v>232</v>
      </c>
      <c r="Z13">
        <f>X13+Y13</f>
        <v/>
      </c>
      <c r="AA13" s="55">
        <f>U13/C13</f>
        <v/>
      </c>
      <c r="AB13" s="55">
        <f>V13/D13</f>
        <v/>
      </c>
      <c r="AC13" s="55">
        <f>W13/E13</f>
        <v/>
      </c>
      <c r="AD13" s="55">
        <f>X13/C13</f>
        <v/>
      </c>
      <c r="AE13" s="55">
        <f>Y13/D13</f>
        <v/>
      </c>
      <c r="AF13" s="55">
        <f>Z13/E13</f>
        <v/>
      </c>
      <c r="AG13" s="55">
        <f>U13/I13</f>
        <v/>
      </c>
      <c r="AH13" s="55">
        <f>V13/J13</f>
        <v/>
      </c>
      <c r="AI13" s="55">
        <f>W13/K13</f>
        <v/>
      </c>
      <c r="AJ13" s="55">
        <f>X13/I13</f>
        <v/>
      </c>
      <c r="AK13" s="55">
        <f>Y13/J13</f>
        <v/>
      </c>
      <c r="AL13" s="55">
        <f>Z13/K13</f>
        <v/>
      </c>
    </row>
    <row r="14">
      <c r="A14" s="26" t="n">
        <v>8</v>
      </c>
      <c r="B14" s="51" t="inlineStr">
        <is>
          <t>Manganitu</t>
        </is>
      </c>
      <c r="C14" t="n">
        <v>7499</v>
      </c>
      <c r="D14" t="n">
        <v>1040</v>
      </c>
      <c r="E14">
        <f>C14+D14</f>
        <v/>
      </c>
      <c r="F14" t="n">
        <v>720</v>
      </c>
      <c r="G14" t="n">
        <v>212</v>
      </c>
      <c r="H14">
        <f>F14+G14</f>
        <v/>
      </c>
      <c r="I14">
        <f>C14-F14</f>
        <v/>
      </c>
      <c r="J14">
        <f>D14-G14</f>
        <v/>
      </c>
      <c r="K14">
        <f>I14+J14</f>
        <v/>
      </c>
      <c r="L14" t="n">
        <v>720</v>
      </c>
      <c r="M14" t="n">
        <v>981</v>
      </c>
      <c r="N14">
        <f>M14-L14</f>
        <v/>
      </c>
      <c r="O14" t="n">
        <v>212</v>
      </c>
      <c r="P14" t="n">
        <v>143</v>
      </c>
      <c r="Q14">
        <f>P14-O14</f>
        <v/>
      </c>
      <c r="R14">
        <f>L14+O14</f>
        <v/>
      </c>
      <c r="S14">
        <f>M14+P14</f>
        <v/>
      </c>
      <c r="T14">
        <f>S14-R14</f>
        <v/>
      </c>
      <c r="U14" t="n">
        <v>4901</v>
      </c>
      <c r="V14" t="n">
        <v>526</v>
      </c>
      <c r="W14">
        <f>U14+V14</f>
        <v/>
      </c>
      <c r="X14" t="n">
        <v>4181</v>
      </c>
      <c r="Y14" t="n">
        <v>314</v>
      </c>
      <c r="Z14">
        <f>X14+Y14</f>
        <v/>
      </c>
      <c r="AA14" s="55">
        <f>U14/C14</f>
        <v/>
      </c>
      <c r="AB14" s="55">
        <f>V14/D14</f>
        <v/>
      </c>
      <c r="AC14" s="55">
        <f>W14/E14</f>
        <v/>
      </c>
      <c r="AD14" s="55">
        <f>X14/C14</f>
        <v/>
      </c>
      <c r="AE14" s="55">
        <f>Y14/D14</f>
        <v/>
      </c>
      <c r="AF14" s="55">
        <f>Z14/E14</f>
        <v/>
      </c>
      <c r="AG14" s="55">
        <f>U14/I14</f>
        <v/>
      </c>
      <c r="AH14" s="55">
        <f>V14/J14</f>
        <v/>
      </c>
      <c r="AI14" s="55">
        <f>W14/K14</f>
        <v/>
      </c>
      <c r="AJ14" s="55">
        <f>X14/I14</f>
        <v/>
      </c>
      <c r="AK14" s="55">
        <f>Y14/J14</f>
        <v/>
      </c>
      <c r="AL14" s="55">
        <f>Z14/K14</f>
        <v/>
      </c>
    </row>
    <row r="15">
      <c r="A15" s="26" t="n">
        <v>9</v>
      </c>
      <c r="B15" s="51" t="inlineStr">
        <is>
          <t>Tahuna</t>
        </is>
      </c>
      <c r="C15" t="n">
        <v>11100</v>
      </c>
      <c r="D15" t="n">
        <v>2740</v>
      </c>
      <c r="E15">
        <f>C15+D15</f>
        <v/>
      </c>
      <c r="F15" t="n">
        <v>2160</v>
      </c>
      <c r="G15" t="n">
        <v>698</v>
      </c>
      <c r="H15">
        <f>F15+G15</f>
        <v/>
      </c>
      <c r="I15">
        <f>C15-F15</f>
        <v/>
      </c>
      <c r="J15">
        <f>D15-G15</f>
        <v/>
      </c>
      <c r="K15">
        <f>I15+J15</f>
        <v/>
      </c>
      <c r="L15" t="n">
        <v>2160</v>
      </c>
      <c r="M15" t="n">
        <v>1322</v>
      </c>
      <c r="N15">
        <f>M15-L15</f>
        <v/>
      </c>
      <c r="O15" t="n">
        <v>698</v>
      </c>
      <c r="P15" t="n">
        <v>616</v>
      </c>
      <c r="Q15">
        <f>P15-O15</f>
        <v/>
      </c>
      <c r="R15">
        <f>L15+O15</f>
        <v/>
      </c>
      <c r="S15">
        <f>M15+P15</f>
        <v/>
      </c>
      <c r="T15">
        <f>S15-R15</f>
        <v/>
      </c>
      <c r="U15" t="n">
        <v>7566</v>
      </c>
      <c r="V15" t="n">
        <v>1748</v>
      </c>
      <c r="W15">
        <f>U15+V15</f>
        <v/>
      </c>
      <c r="X15" t="n">
        <v>5406</v>
      </c>
      <c r="Y15" t="n">
        <v>1050</v>
      </c>
      <c r="Z15">
        <f>X15+Y15</f>
        <v/>
      </c>
      <c r="AA15" s="55">
        <f>U15/C15</f>
        <v/>
      </c>
      <c r="AB15" s="55">
        <f>V15/D15</f>
        <v/>
      </c>
      <c r="AC15" s="55">
        <f>W15/E15</f>
        <v/>
      </c>
      <c r="AD15" s="55">
        <f>X15/C15</f>
        <v/>
      </c>
      <c r="AE15" s="55">
        <f>Y15/D15</f>
        <v/>
      </c>
      <c r="AF15" s="55">
        <f>Z15/E15</f>
        <v/>
      </c>
      <c r="AG15" s="55">
        <f>U15/I15</f>
        <v/>
      </c>
      <c r="AH15" s="55">
        <f>V15/J15</f>
        <v/>
      </c>
      <c r="AI15" s="55">
        <f>W15/K15</f>
        <v/>
      </c>
      <c r="AJ15" s="55">
        <f>X15/I15</f>
        <v/>
      </c>
      <c r="AK15" s="55">
        <f>Y15/J15</f>
        <v/>
      </c>
      <c r="AL15" s="55">
        <f>Z15/K15</f>
        <v/>
      </c>
    </row>
    <row r="16">
      <c r="A16" s="26" t="n">
        <v>10</v>
      </c>
      <c r="B16" s="51" t="inlineStr">
        <is>
          <t>Tahuna Timur</t>
        </is>
      </c>
      <c r="C16" t="n">
        <v>8080</v>
      </c>
      <c r="D16" t="n">
        <v>1130</v>
      </c>
      <c r="E16">
        <f>C16+D16</f>
        <v/>
      </c>
      <c r="F16" t="n">
        <v>1402</v>
      </c>
      <c r="G16" t="n">
        <v>358</v>
      </c>
      <c r="H16">
        <f>F16+G16</f>
        <v/>
      </c>
      <c r="I16">
        <f>C16-F16</f>
        <v/>
      </c>
      <c r="J16">
        <f>D16-G16</f>
        <v/>
      </c>
      <c r="K16">
        <f>I16+J16</f>
        <v/>
      </c>
      <c r="L16" t="n">
        <v>1402</v>
      </c>
      <c r="M16" t="n">
        <v>886</v>
      </c>
      <c r="N16">
        <f>M16-L16</f>
        <v/>
      </c>
      <c r="O16" t="n">
        <v>358</v>
      </c>
      <c r="P16" t="n">
        <v>166</v>
      </c>
      <c r="Q16">
        <f>P16-O16</f>
        <v/>
      </c>
      <c r="R16">
        <f>L16+O16</f>
        <v/>
      </c>
      <c r="S16">
        <f>M16+P16</f>
        <v/>
      </c>
      <c r="T16">
        <f>S16-R16</f>
        <v/>
      </c>
      <c r="U16" t="n">
        <v>5764</v>
      </c>
      <c r="V16" t="n">
        <v>704</v>
      </c>
      <c r="W16">
        <f>U16+V16</f>
        <v/>
      </c>
      <c r="X16" t="n">
        <v>4362</v>
      </c>
      <c r="Y16" t="n">
        <v>346</v>
      </c>
      <c r="Z16">
        <f>X16+Y16</f>
        <v/>
      </c>
      <c r="AA16" s="55">
        <f>U16/C16</f>
        <v/>
      </c>
      <c r="AB16" s="55">
        <f>V16/D16</f>
        <v/>
      </c>
      <c r="AC16" s="55">
        <f>W16/E16</f>
        <v/>
      </c>
      <c r="AD16" s="55">
        <f>X16/C16</f>
        <v/>
      </c>
      <c r="AE16" s="55">
        <f>Y16/D16</f>
        <v/>
      </c>
      <c r="AF16" s="55">
        <f>Z16/E16</f>
        <v/>
      </c>
      <c r="AG16" s="55">
        <f>U16/I16</f>
        <v/>
      </c>
      <c r="AH16" s="55">
        <f>V16/J16</f>
        <v/>
      </c>
      <c r="AI16" s="55">
        <f>W16/K16</f>
        <v/>
      </c>
      <c r="AJ16" s="55">
        <f>X16/I16</f>
        <v/>
      </c>
      <c r="AK16" s="55">
        <f>Y16/J16</f>
        <v/>
      </c>
      <c r="AL16" s="55">
        <f>Z16/K16</f>
        <v/>
      </c>
    </row>
    <row r="17">
      <c r="A17" s="26" t="n">
        <v>11</v>
      </c>
      <c r="B17" s="51" t="inlineStr">
        <is>
          <t>Tahuna Barat</t>
        </is>
      </c>
      <c r="C17" t="n">
        <v>4080</v>
      </c>
      <c r="D17" t="n">
        <v>338</v>
      </c>
      <c r="E17">
        <f>C17+D17</f>
        <v/>
      </c>
      <c r="F17" t="n">
        <v>466</v>
      </c>
      <c r="G17" t="n">
        <v>112</v>
      </c>
      <c r="H17">
        <f>F17+G17</f>
        <v/>
      </c>
      <c r="I17">
        <f>C17-F17</f>
        <v/>
      </c>
      <c r="J17">
        <f>D17-G17</f>
        <v/>
      </c>
      <c r="K17">
        <f>I17+J17</f>
        <v/>
      </c>
      <c r="L17" t="n">
        <v>466</v>
      </c>
      <c r="M17" t="n">
        <v>214</v>
      </c>
      <c r="N17">
        <f>M17-L17</f>
        <v/>
      </c>
      <c r="O17" t="n">
        <v>112</v>
      </c>
      <c r="P17" t="n">
        <v>22</v>
      </c>
      <c r="Q17">
        <f>P17-O17</f>
        <v/>
      </c>
      <c r="R17">
        <f>L17+O17</f>
        <v/>
      </c>
      <c r="S17">
        <f>M17+P17</f>
        <v/>
      </c>
      <c r="T17">
        <f>S17-R17</f>
        <v/>
      </c>
      <c r="U17" t="n">
        <v>2732</v>
      </c>
      <c r="V17" t="n">
        <v>208</v>
      </c>
      <c r="W17">
        <f>U17+V17</f>
        <v/>
      </c>
      <c r="X17" t="n">
        <v>2266</v>
      </c>
      <c r="Y17" t="n">
        <v>96</v>
      </c>
      <c r="Z17">
        <f>X17+Y17</f>
        <v/>
      </c>
      <c r="AA17" s="55">
        <f>U17/C17</f>
        <v/>
      </c>
      <c r="AB17" s="55">
        <f>V17/D17</f>
        <v/>
      </c>
      <c r="AC17" s="55">
        <f>W17/E17</f>
        <v/>
      </c>
      <c r="AD17" s="55">
        <f>X17/C17</f>
        <v/>
      </c>
      <c r="AE17" s="55">
        <f>Y17/D17</f>
        <v/>
      </c>
      <c r="AF17" s="55">
        <f>Z17/E17</f>
        <v/>
      </c>
      <c r="AG17" s="55">
        <f>U17/I17</f>
        <v/>
      </c>
      <c r="AH17" s="55">
        <f>V17/J17</f>
        <v/>
      </c>
      <c r="AI17" s="55">
        <f>W17/K17</f>
        <v/>
      </c>
      <c r="AJ17" s="55">
        <f>X17/I17</f>
        <v/>
      </c>
      <c r="AK17" s="55">
        <f>Y17/J17</f>
        <v/>
      </c>
      <c r="AL17" s="55">
        <f>Z17/K17</f>
        <v/>
      </c>
    </row>
    <row r="18">
      <c r="A18" s="26" t="n">
        <v>12</v>
      </c>
      <c r="B18" s="51" t="inlineStr">
        <is>
          <t>Tabukan Utara</t>
        </is>
      </c>
      <c r="C18" t="n">
        <v>10033</v>
      </c>
      <c r="D18" t="n">
        <v>1258</v>
      </c>
      <c r="E18">
        <f>C18+D18</f>
        <v/>
      </c>
      <c r="F18" t="n">
        <v>1431</v>
      </c>
      <c r="G18" t="n">
        <v>620</v>
      </c>
      <c r="H18">
        <f>F18+G18</f>
        <v/>
      </c>
      <c r="I18">
        <f>C18-F18</f>
        <v/>
      </c>
      <c r="J18">
        <f>D18-G18</f>
        <v/>
      </c>
      <c r="K18">
        <f>I18+J18</f>
        <v/>
      </c>
      <c r="L18" t="n">
        <v>1431</v>
      </c>
      <c r="M18" t="n">
        <v>1849</v>
      </c>
      <c r="N18">
        <f>M18-L18</f>
        <v/>
      </c>
      <c r="O18" t="n">
        <v>620</v>
      </c>
      <c r="P18" t="n">
        <v>451</v>
      </c>
      <c r="Q18">
        <f>P18-O18</f>
        <v/>
      </c>
      <c r="R18">
        <f>L18+O18</f>
        <v/>
      </c>
      <c r="S18">
        <f>M18+P18</f>
        <v/>
      </c>
      <c r="T18">
        <f>S18-R18</f>
        <v/>
      </c>
      <c r="U18" t="n">
        <v>8358</v>
      </c>
      <c r="V18" t="n">
        <v>1353</v>
      </c>
      <c r="W18">
        <f>U18+V18</f>
        <v/>
      </c>
      <c r="X18" t="n">
        <v>6927</v>
      </c>
      <c r="Y18" t="n">
        <v>733</v>
      </c>
      <c r="Z18">
        <f>X18+Y18</f>
        <v/>
      </c>
      <c r="AA18" s="55">
        <f>U18/C18</f>
        <v/>
      </c>
      <c r="AB18" s="55">
        <f>V18/D18</f>
        <v/>
      </c>
      <c r="AC18" s="55">
        <f>W18/E18</f>
        <v/>
      </c>
      <c r="AD18" s="55">
        <f>X18/C18</f>
        <v/>
      </c>
      <c r="AE18" s="55">
        <f>Y18/D18</f>
        <v/>
      </c>
      <c r="AF18" s="55">
        <f>Z18/E18</f>
        <v/>
      </c>
      <c r="AG18" s="55">
        <f>U18/I18</f>
        <v/>
      </c>
      <c r="AH18" s="55">
        <f>V18/J18</f>
        <v/>
      </c>
      <c r="AI18" s="55">
        <f>W18/K18</f>
        <v/>
      </c>
      <c r="AJ18" s="55">
        <f>X18/I18</f>
        <v/>
      </c>
      <c r="AK18" s="55">
        <f>Y18/J18</f>
        <v/>
      </c>
      <c r="AL18" s="55">
        <f>Z18/K18</f>
        <v/>
      </c>
    </row>
    <row r="19">
      <c r="A19" s="26" t="n"/>
      <c r="B19" s="51" t="inlineStr">
        <is>
          <t>Tabukan Utara dan Nusa Tabukan</t>
        </is>
      </c>
      <c r="C19" t="n">
        <v>1646</v>
      </c>
      <c r="D19" t="n">
        <v>227</v>
      </c>
      <c r="E19">
        <f>C19+D19</f>
        <v/>
      </c>
      <c r="F19" t="n">
        <v>126</v>
      </c>
      <c r="G19" t="n">
        <v>92</v>
      </c>
      <c r="H19">
        <f>F19+G19</f>
        <v/>
      </c>
      <c r="I19">
        <f>C19-F19</f>
        <v/>
      </c>
      <c r="J19">
        <f>D19-G19</f>
        <v/>
      </c>
      <c r="K19">
        <f>I19+J19</f>
        <v/>
      </c>
      <c r="L19" t="n">
        <v>126</v>
      </c>
      <c r="M19" t="n">
        <v>305</v>
      </c>
      <c r="N19">
        <f>M19-L19</f>
        <v/>
      </c>
      <c r="O19" t="n">
        <v>92</v>
      </c>
      <c r="P19" t="n">
        <v>116</v>
      </c>
      <c r="Q19">
        <f>P19-O19</f>
        <v/>
      </c>
      <c r="R19">
        <f>L19+O19</f>
        <v/>
      </c>
      <c r="S19">
        <f>M19+P19</f>
        <v/>
      </c>
      <c r="T19">
        <f>S19-R19</f>
        <v/>
      </c>
      <c r="U19" t="n">
        <v>1369</v>
      </c>
      <c r="V19" t="n">
        <v>282</v>
      </c>
      <c r="W19">
        <f>U19+V19</f>
        <v/>
      </c>
      <c r="X19" t="n">
        <v>1243</v>
      </c>
      <c r="Y19" t="n">
        <v>190</v>
      </c>
      <c r="Z19">
        <f>X19+Y19</f>
        <v/>
      </c>
      <c r="AA19" s="55">
        <f>U19/C19</f>
        <v/>
      </c>
      <c r="AB19" s="55">
        <f>V19/D19</f>
        <v/>
      </c>
      <c r="AC19" s="55">
        <f>W19/E19</f>
        <v/>
      </c>
      <c r="AD19" s="55">
        <f>X19/C19</f>
        <v/>
      </c>
      <c r="AE19" s="55">
        <f>Y19/D19</f>
        <v/>
      </c>
      <c r="AF19" s="55">
        <f>Z19/E19</f>
        <v/>
      </c>
      <c r="AG19" s="55">
        <f>U19/I19</f>
        <v/>
      </c>
      <c r="AH19" s="55">
        <f>V19/J19</f>
        <v/>
      </c>
      <c r="AI19" s="55">
        <f>W19/K19</f>
        <v/>
      </c>
      <c r="AJ19" s="55">
        <f>X19/I19</f>
        <v/>
      </c>
      <c r="AK19" s="55">
        <f>Y19/J19</f>
        <v/>
      </c>
      <c r="AL19" s="55">
        <f>Z19/K19</f>
        <v/>
      </c>
    </row>
    <row r="20">
      <c r="A20" s="26" t="n"/>
      <c r="B20" s="51" t="inlineStr">
        <is>
          <t>Tabukan Utara dan Kepl. Marore</t>
        </is>
      </c>
      <c r="C20" t="n">
        <v>2078</v>
      </c>
      <c r="D20" t="n">
        <v>235</v>
      </c>
      <c r="E20">
        <f>C20+D20</f>
        <v/>
      </c>
      <c r="F20" t="n">
        <v>296</v>
      </c>
      <c r="G20" t="n">
        <v>113</v>
      </c>
      <c r="H20">
        <f>F20+G20</f>
        <v/>
      </c>
      <c r="I20">
        <f>C20-F20</f>
        <v/>
      </c>
      <c r="J20">
        <f>D20-G20</f>
        <v/>
      </c>
      <c r="K20">
        <f>I20+J20</f>
        <v/>
      </c>
      <c r="L20" t="n">
        <v>296</v>
      </c>
      <c r="M20" t="n">
        <v>268</v>
      </c>
      <c r="N20">
        <f>M20-L20</f>
        <v/>
      </c>
      <c r="O20" t="n">
        <v>113</v>
      </c>
      <c r="P20" t="n">
        <v>28</v>
      </c>
      <c r="Q20">
        <f>P20-O20</f>
        <v/>
      </c>
      <c r="R20">
        <f>L20+O20</f>
        <v/>
      </c>
      <c r="S20">
        <f>M20+P20</f>
        <v/>
      </c>
      <c r="T20">
        <f>S20-R20</f>
        <v/>
      </c>
      <c r="U20" t="n">
        <v>1506</v>
      </c>
      <c r="V20" t="n">
        <v>193</v>
      </c>
      <c r="W20">
        <f>U20+V20</f>
        <v/>
      </c>
      <c r="X20" t="n">
        <v>1210</v>
      </c>
      <c r="Y20" t="n">
        <v>80</v>
      </c>
      <c r="Z20">
        <f>X20+Y20</f>
        <v/>
      </c>
      <c r="AA20" s="55">
        <f>U20/C20</f>
        <v/>
      </c>
      <c r="AB20" s="55">
        <f>V20/D20</f>
        <v/>
      </c>
      <c r="AC20" s="55">
        <f>W20/E20</f>
        <v/>
      </c>
      <c r="AD20" s="55">
        <f>X20/C20</f>
        <v/>
      </c>
      <c r="AE20" s="55">
        <f>Y20/D20</f>
        <v/>
      </c>
      <c r="AF20" s="55">
        <f>Z20/E20</f>
        <v/>
      </c>
      <c r="AG20" s="55">
        <f>U20/I20</f>
        <v/>
      </c>
      <c r="AH20" s="55">
        <f>V20/J20</f>
        <v/>
      </c>
      <c r="AI20" s="55">
        <f>W20/K20</f>
        <v/>
      </c>
      <c r="AJ20" s="55">
        <f>X20/I20</f>
        <v/>
      </c>
      <c r="AK20" s="55">
        <f>Y20/J20</f>
        <v/>
      </c>
      <c r="AL20" s="55">
        <f>Z20/K20</f>
        <v/>
      </c>
    </row>
    <row r="21">
      <c r="A21" s="26" t="n">
        <v>13</v>
      </c>
      <c r="B21" s="51" t="inlineStr">
        <is>
          <t>Nusa Tabukan</t>
        </is>
      </c>
      <c r="C21" t="n">
        <v>876</v>
      </c>
      <c r="D21" t="n">
        <v>35</v>
      </c>
      <c r="E21">
        <f>C21+D21</f>
        <v/>
      </c>
      <c r="F21" t="n">
        <v>66</v>
      </c>
      <c r="G21" t="n">
        <v>15</v>
      </c>
      <c r="H21">
        <f>F21+G21</f>
        <v/>
      </c>
      <c r="I21">
        <f>C21-F21</f>
        <v/>
      </c>
      <c r="J21">
        <f>D21-G21</f>
        <v/>
      </c>
      <c r="K21">
        <f>I21+J21</f>
        <v/>
      </c>
      <c r="L21" t="n">
        <v>66</v>
      </c>
      <c r="M21" t="n">
        <v>89</v>
      </c>
      <c r="N21">
        <f>M21-L21</f>
        <v/>
      </c>
      <c r="O21" t="n">
        <v>15</v>
      </c>
      <c r="P21" t="n">
        <v>2</v>
      </c>
      <c r="Q21">
        <f>P21-O21</f>
        <v/>
      </c>
      <c r="R21">
        <f>L21+O21</f>
        <v/>
      </c>
      <c r="S21">
        <f>M21+P21</f>
        <v/>
      </c>
      <c r="T21">
        <f>S21-R21</f>
        <v/>
      </c>
      <c r="U21" t="n">
        <v>789</v>
      </c>
      <c r="V21" t="n">
        <v>27</v>
      </c>
      <c r="W21">
        <f>U21+V21</f>
        <v/>
      </c>
      <c r="X21" t="n">
        <v>723</v>
      </c>
      <c r="Y21" t="n">
        <v>12</v>
      </c>
      <c r="Z21">
        <f>X21+Y21</f>
        <v/>
      </c>
      <c r="AA21" s="55">
        <f>U21/C21</f>
        <v/>
      </c>
      <c r="AB21" s="55">
        <f>V21/D21</f>
        <v/>
      </c>
      <c r="AC21" s="55">
        <f>W21/E21</f>
        <v/>
      </c>
      <c r="AD21" s="55">
        <f>X21/C21</f>
        <v/>
      </c>
      <c r="AE21" s="55">
        <f>Y21/D21</f>
        <v/>
      </c>
      <c r="AF21" s="55">
        <f>Z21/E21</f>
        <v/>
      </c>
      <c r="AG21" s="55">
        <f>U21/I21</f>
        <v/>
      </c>
      <c r="AH21" s="55">
        <f>V21/J21</f>
        <v/>
      </c>
      <c r="AI21" s="55">
        <f>W21/K21</f>
        <v/>
      </c>
      <c r="AJ21" s="55">
        <f>X21/I21</f>
        <v/>
      </c>
      <c r="AK21" s="55">
        <f>Y21/J21</f>
        <v/>
      </c>
      <c r="AL21" s="55">
        <f>Z21/K21</f>
        <v/>
      </c>
    </row>
    <row r="22">
      <c r="A22" s="26" t="n">
        <v>14</v>
      </c>
      <c r="B22" s="51" t="inlineStr">
        <is>
          <t>Kepulauan Marore</t>
        </is>
      </c>
      <c r="C22" t="n">
        <v>411</v>
      </c>
      <c r="D22" t="n">
        <v>41</v>
      </c>
      <c r="E22">
        <f>C22+D22</f>
        <v/>
      </c>
      <c r="F22" t="n">
        <v>43</v>
      </c>
      <c r="G22" t="n">
        <v>18</v>
      </c>
      <c r="H22">
        <f>F22+G22</f>
        <v/>
      </c>
      <c r="I22">
        <f>C22-F22</f>
        <v/>
      </c>
      <c r="J22">
        <f>D22-G22</f>
        <v/>
      </c>
      <c r="K22">
        <f>I22+J22</f>
        <v/>
      </c>
      <c r="L22" t="n">
        <v>43</v>
      </c>
      <c r="M22" t="n">
        <v>35</v>
      </c>
      <c r="N22">
        <f>M22-L22</f>
        <v/>
      </c>
      <c r="O22" t="n">
        <v>18</v>
      </c>
      <c r="P22" t="n">
        <v>7</v>
      </c>
      <c r="Q22">
        <f>P22-O22</f>
        <v/>
      </c>
      <c r="R22">
        <f>L22+O22</f>
        <v/>
      </c>
      <c r="S22">
        <f>M22+P22</f>
        <v/>
      </c>
      <c r="T22">
        <f>S22-R22</f>
        <v/>
      </c>
      <c r="U22" t="n">
        <v>194</v>
      </c>
      <c r="V22" t="n">
        <v>41</v>
      </c>
      <c r="W22">
        <f>U22+V22</f>
        <v/>
      </c>
      <c r="X22" t="n">
        <v>151</v>
      </c>
      <c r="Y22" t="n">
        <v>23</v>
      </c>
      <c r="Z22">
        <f>X22+Y22</f>
        <v/>
      </c>
      <c r="AA22" s="55">
        <f>U22/C22</f>
        <v/>
      </c>
      <c r="AB22" s="55">
        <f>V22/D22</f>
        <v/>
      </c>
      <c r="AC22" s="55">
        <f>W22/E22</f>
        <v/>
      </c>
      <c r="AD22" s="55">
        <f>X22/C22</f>
        <v/>
      </c>
      <c r="AE22" s="55">
        <f>Y22/D22</f>
        <v/>
      </c>
      <c r="AF22" s="55">
        <f>Z22/E22</f>
        <v/>
      </c>
      <c r="AG22" s="55">
        <f>U22/I22</f>
        <v/>
      </c>
      <c r="AH22" s="55">
        <f>V22/J22</f>
        <v/>
      </c>
      <c r="AI22" s="55">
        <f>W22/K22</f>
        <v/>
      </c>
      <c r="AJ22" s="55">
        <f>X22/I22</f>
        <v/>
      </c>
      <c r="AK22" s="55">
        <f>Y22/J22</f>
        <v/>
      </c>
      <c r="AL22" s="55">
        <f>Z22/K22</f>
        <v/>
      </c>
    </row>
    <row r="23">
      <c r="A23" s="26" t="n">
        <v>15</v>
      </c>
      <c r="B23" s="51" t="inlineStr">
        <is>
          <t>Kendahe</t>
        </is>
      </c>
      <c r="C23" t="n">
        <v>4340</v>
      </c>
      <c r="D23" t="n">
        <v>492</v>
      </c>
      <c r="E23">
        <f>C23+D23</f>
        <v/>
      </c>
      <c r="F23" t="n">
        <v>576</v>
      </c>
      <c r="G23" t="n">
        <v>156</v>
      </c>
      <c r="H23">
        <f>F23+G23</f>
        <v/>
      </c>
      <c r="I23">
        <f>C23-F23</f>
        <v/>
      </c>
      <c r="J23">
        <f>D23-G23</f>
        <v/>
      </c>
      <c r="K23">
        <f>I23+J23</f>
        <v/>
      </c>
      <c r="L23" t="n">
        <v>576</v>
      </c>
      <c r="M23" t="n">
        <v>446</v>
      </c>
      <c r="N23">
        <f>M23-L23</f>
        <v/>
      </c>
      <c r="O23" t="n">
        <v>156</v>
      </c>
      <c r="P23" t="n">
        <v>116</v>
      </c>
      <c r="Q23">
        <f>P23-O23</f>
        <v/>
      </c>
      <c r="R23">
        <f>L23+O23</f>
        <v/>
      </c>
      <c r="S23">
        <f>M23+P23</f>
        <v/>
      </c>
      <c r="T23">
        <f>S23-R23</f>
        <v/>
      </c>
      <c r="U23" t="n">
        <v>2950</v>
      </c>
      <c r="V23" t="n">
        <v>386</v>
      </c>
      <c r="W23">
        <f>U23+V23</f>
        <v/>
      </c>
      <c r="X23" t="n">
        <v>2374</v>
      </c>
      <c r="Y23" t="n">
        <v>230</v>
      </c>
      <c r="Z23">
        <f>X23+Y23</f>
        <v/>
      </c>
      <c r="AA23" s="55">
        <f>U23/C23</f>
        <v/>
      </c>
      <c r="AB23" s="55">
        <f>V23/D23</f>
        <v/>
      </c>
      <c r="AC23" s="55">
        <f>W23/E23</f>
        <v/>
      </c>
      <c r="AD23" s="55">
        <f>X23/C23</f>
        <v/>
      </c>
      <c r="AE23" s="55">
        <f>Y23/D23</f>
        <v/>
      </c>
      <c r="AF23" s="55">
        <f>Z23/E23</f>
        <v/>
      </c>
      <c r="AG23" s="55">
        <f>U23/I23</f>
        <v/>
      </c>
      <c r="AH23" s="55">
        <f>V23/J23</f>
        <v/>
      </c>
      <c r="AI23" s="55">
        <f>W23/K23</f>
        <v/>
      </c>
      <c r="AJ23" s="55">
        <f>X23/I23</f>
        <v/>
      </c>
      <c r="AK23" s="55">
        <f>Y23/J23</f>
        <v/>
      </c>
      <c r="AL23" s="55">
        <f>Z23/K23</f>
        <v/>
      </c>
    </row>
    <row r="24">
      <c r="A24" s="2" t="inlineStr">
        <is>
          <t>Kepl. Sangihe</t>
        </is>
      </c>
      <c r="B24" s="53" t="n"/>
      <c r="C24">
        <f>SUM(C5:C23)</f>
        <v/>
      </c>
      <c r="D24">
        <f>SUM(D5:D23)</f>
        <v/>
      </c>
      <c r="E24">
        <f>SUM(E5:E23)</f>
        <v/>
      </c>
      <c r="F24">
        <f>SUM(F5:F23)</f>
        <v/>
      </c>
      <c r="G24">
        <f>SUM(G5:G23)</f>
        <v/>
      </c>
      <c r="H24">
        <f>SUM(H5:H23)</f>
        <v/>
      </c>
      <c r="I24">
        <f>SUM(I5:I23)</f>
        <v/>
      </c>
      <c r="J24">
        <f>SUM(J5:J23)</f>
        <v/>
      </c>
      <c r="K24">
        <f>SUM(K5:K23)</f>
        <v/>
      </c>
      <c r="L24">
        <f>SUM(L5:L23)</f>
        <v/>
      </c>
      <c r="M24">
        <f>SUM(M5:M23)</f>
        <v/>
      </c>
      <c r="N24">
        <f>SUM(N5:N23)</f>
        <v/>
      </c>
      <c r="O24">
        <f>SUM(O5:O23)</f>
        <v/>
      </c>
      <c r="P24">
        <f>SUM(P5:P23)</f>
        <v/>
      </c>
      <c r="Q24">
        <f>SUM(Q5:Q23)</f>
        <v/>
      </c>
      <c r="R24">
        <f>SUM(R5:R23)</f>
        <v/>
      </c>
      <c r="S24">
        <f>SUM(S5:S23)</f>
        <v/>
      </c>
      <c r="T24">
        <f>SUM(T5:T23)</f>
        <v/>
      </c>
      <c r="U24">
        <f>SUM(U5:U23)</f>
        <v/>
      </c>
      <c r="V24">
        <f>SUM(V5:V23)</f>
        <v/>
      </c>
      <c r="W24">
        <f>SUM(W5:W23)</f>
        <v/>
      </c>
      <c r="X24">
        <f>SUM(X5:X23)</f>
        <v/>
      </c>
      <c r="Y24">
        <f>SUM(Y5:Y23)</f>
        <v/>
      </c>
      <c r="Z24">
        <f>SUM(Z5:Z23)</f>
        <v/>
      </c>
      <c r="AA24" s="55">
        <f>IF(C24&gt;0, U24/C24, 0)</f>
        <v/>
      </c>
      <c r="AB24" s="55">
        <f>IF(D24&gt;0, V24/D24, 0)</f>
        <v/>
      </c>
      <c r="AC24" s="55">
        <f>IF(E24&gt;0, W24/E24, 0)</f>
        <v/>
      </c>
      <c r="AD24" s="55">
        <f>IF(C24&gt;0, X24/C24, 0)</f>
        <v/>
      </c>
      <c r="AE24" s="55">
        <f>IF(D24&gt;0, Y24/D24, 0)</f>
        <v/>
      </c>
      <c r="AF24" s="55">
        <f>IF(E24&gt;0, Z24/E24, 0)</f>
        <v/>
      </c>
      <c r="AG24" s="55">
        <f>IF(I24&gt;0, U24/I24, 0)</f>
        <v/>
      </c>
      <c r="AH24" s="55">
        <f>IF(J24&gt;0, V24/J24, 0)</f>
        <v/>
      </c>
      <c r="AI24" s="55">
        <f>IF(K24&gt;0, W24/K24, 0)</f>
        <v/>
      </c>
      <c r="AJ24" s="55">
        <f>IF(I24&gt;0, X24/I24, 0)</f>
        <v/>
      </c>
      <c r="AK24" s="55">
        <f>IF(J24&gt;0, Y24/J24, 0)</f>
        <v/>
      </c>
      <c r="AL24" s="55">
        <f>IF(K24&gt;0, Z24/K24, 0)</f>
        <v/>
      </c>
    </row>
  </sheetData>
  <mergeCells count="20">
    <mergeCell ref="A24:B24"/>
    <mergeCell ref="U2:Z2"/>
    <mergeCell ref="AG2:AL2"/>
    <mergeCell ref="B3:B4"/>
    <mergeCell ref="X3:Z3"/>
    <mergeCell ref="AJ3:AL3"/>
    <mergeCell ref="I3:K3"/>
    <mergeCell ref="U3:W3"/>
    <mergeCell ref="C2:K2"/>
    <mergeCell ref="R3:T3"/>
    <mergeCell ref="A3:A4"/>
    <mergeCell ref="AG3:AI3"/>
    <mergeCell ref="AA3:AC3"/>
    <mergeCell ref="AA2:AF2"/>
    <mergeCell ref="AD3:AF3"/>
    <mergeCell ref="C3:E3"/>
    <mergeCell ref="O3:Q3"/>
    <mergeCell ref="L2:T2"/>
    <mergeCell ref="F3:H3"/>
    <mergeCell ref="L3:N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</cols>
  <sheetData>
    <row r="1">
      <c r="A1" s="74" t="inlineStr">
        <is>
          <t>REKAPITULASI PROGRES PENDATAAN LAPANGAN SE2026 PER KECAMATAN</t>
        </is>
      </c>
    </row>
    <row r="3">
      <c r="A3" s="75" t="inlineStr">
        <is>
          <t>NO</t>
        </is>
      </c>
      <c r="B3" s="75" t="inlineStr">
        <is>
          <t>KECAMATAN</t>
        </is>
      </c>
      <c r="C3" s="75" t="inlineStr">
        <is>
          <t>PROGRES (%)</t>
        </is>
      </c>
    </row>
    <row r="4">
      <c r="A4" s="76" t="n">
        <v>1</v>
      </c>
      <c r="B4" s="76" t="inlineStr">
        <is>
          <t>Manganitu Selatan</t>
        </is>
      </c>
      <c r="C4" s="77" t="n">
        <v>0.8298289879450519</v>
      </c>
    </row>
    <row r="5">
      <c r="A5" s="78" t="n">
        <v>2</v>
      </c>
      <c r="B5" s="78" t="inlineStr">
        <is>
          <t>Tatoareng</t>
        </is>
      </c>
      <c r="C5" s="79" t="n">
        <v>0.7183544303797469</v>
      </c>
    </row>
    <row r="6">
      <c r="A6" s="76" t="n">
        <v>3</v>
      </c>
      <c r="B6" s="76" t="inlineStr">
        <is>
          <t>Tamako</t>
        </is>
      </c>
      <c r="C6" s="77" t="n">
        <v>0.8463024578727059</v>
      </c>
    </row>
    <row r="7">
      <c r="A7" s="78" t="n">
        <v>4</v>
      </c>
      <c r="B7" s="78" t="inlineStr">
        <is>
          <t>Tabukan Selatan</t>
        </is>
      </c>
      <c r="C7" s="79" t="n">
        <v>0.8832635983263598</v>
      </c>
    </row>
    <row r="8">
      <c r="A8" s="76" t="n">
        <v>5</v>
      </c>
      <c r="B8" s="76" t="inlineStr">
        <is>
          <t>Tabukan Selatan Tengah</t>
        </is>
      </c>
      <c r="C8" s="77" t="n">
        <v>0.7366071428571429</v>
      </c>
    </row>
    <row r="9">
      <c r="A9" s="78" t="n">
        <v>6</v>
      </c>
      <c r="B9" s="78" t="inlineStr">
        <is>
          <t>Tabukan Tengah</t>
        </is>
      </c>
      <c r="C9" s="79" t="n">
        <v>0.6030414263240692</v>
      </c>
    </row>
    <row r="10">
      <c r="A10" s="76" t="n">
        <v>7</v>
      </c>
      <c r="B10" s="76" t="inlineStr">
        <is>
          <t>Manganitu</t>
        </is>
      </c>
      <c r="C10" s="77" t="n">
        <v>0.6355545145801617</v>
      </c>
    </row>
    <row r="11">
      <c r="A11" s="78" t="n">
        <v>8</v>
      </c>
      <c r="B11" s="78" t="inlineStr">
        <is>
          <t>Tahuna</t>
        </is>
      </c>
      <c r="C11" s="79" t="n">
        <v>0.6729768786127167</v>
      </c>
    </row>
    <row r="12">
      <c r="A12" s="76" t="n">
        <v>9</v>
      </c>
      <c r="B12" s="76" t="inlineStr">
        <is>
          <t>Tahuna Timur</t>
        </is>
      </c>
      <c r="C12" s="77" t="n">
        <v>0.7022801302931596</v>
      </c>
    </row>
    <row r="13">
      <c r="A13" s="78" t="n">
        <v>10</v>
      </c>
      <c r="B13" s="78" t="inlineStr">
        <is>
          <t>Tahuna Barat</t>
        </is>
      </c>
      <c r="C13" s="79" t="n">
        <v>0.6654594839293798</v>
      </c>
    </row>
    <row r="14">
      <c r="A14" s="76" t="n">
        <v>11</v>
      </c>
      <c r="B14" s="76" t="inlineStr">
        <is>
          <t>Tabukan Utara</t>
        </is>
      </c>
      <c r="C14" s="77" t="n">
        <v>0.8600655389248074</v>
      </c>
    </row>
    <row r="15">
      <c r="A15" s="78" t="n">
        <v>12</v>
      </c>
      <c r="B15" s="78" t="inlineStr">
        <is>
          <t>Nusa Tabukan</t>
        </is>
      </c>
      <c r="C15" s="79" t="n">
        <v>0.8957189901207464</v>
      </c>
    </row>
    <row r="16">
      <c r="A16" s="76" t="n">
        <v>13</v>
      </c>
      <c r="B16" s="76" t="inlineStr">
        <is>
          <t>Kepulauan Marore</t>
        </is>
      </c>
      <c r="C16" s="77" t="n">
        <v>0.5199115044247787</v>
      </c>
    </row>
    <row r="17">
      <c r="A17" s="78" t="n">
        <v>14</v>
      </c>
      <c r="B17" s="78" t="inlineStr">
        <is>
          <t>Kendahe</t>
        </is>
      </c>
      <c r="C17" s="79" t="n">
        <v>0.6903973509933775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Eko Siswahto</dc:creator>
  <dcterms:created xmlns:dcterms="http://purl.org/dc/terms/" xmlns:xsi="http://www.w3.org/2001/XMLSchema-instance" xsi:type="dcterms:W3CDTF">2026-07-13T03:06:04Z</dcterms:created>
  <dcterms:modified xmlns:dcterms="http://purl.org/dc/terms/" xmlns:xsi="http://www.w3.org/2001/XMLSchema-instance" xsi:type="dcterms:W3CDTF">2026-08-06T00:43:55Z</dcterms:modified>
  <cp:lastModifiedBy>Eko Siswahto</cp:lastModifiedBy>
</cp:coreProperties>
</file>